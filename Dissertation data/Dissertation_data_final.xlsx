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D:\Study\CS\Research\Electrotactile feedback\Dissertation data\"/>
    </mc:Choice>
  </mc:AlternateContent>
  <xr:revisionPtr revIDLastSave="0" documentId="8_{2A0551D4-E212-4B9E-AFEC-6F455403D80C}" xr6:coauthVersionLast="47" xr6:coauthVersionMax="47" xr10:uidLastSave="{00000000-0000-0000-0000-000000000000}"/>
  <bookViews>
    <workbookView xWindow="-108" yWindow="-108" windowWidth="23256" windowHeight="12576" activeTab="3" xr2:uid="{00000000-000D-0000-FFFF-FFFF00000000}"/>
  </bookViews>
  <sheets>
    <sheet name="Log data" sheetId="1" r:id="rId1"/>
    <sheet name="SUS" sheetId="2" r:id="rId2"/>
    <sheet name="Other data" sheetId="3" r:id="rId3"/>
    <sheet name="Feedback" sheetId="4" r:id="rId4"/>
  </sheets>
  <externalReferences>
    <externalReference r:id="rId5"/>
  </externalReferenc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3" i="1" l="1"/>
  <c r="M154" i="1"/>
  <c r="M155" i="1"/>
  <c r="M152" i="1"/>
  <c r="L153" i="1"/>
  <c r="L154" i="1"/>
  <c r="L155" i="1"/>
  <c r="L152" i="1"/>
  <c r="K153" i="1"/>
  <c r="K154" i="1"/>
  <c r="K155" i="1"/>
  <c r="K152" i="1"/>
  <c r="AH51" i="2"/>
  <c r="T51" i="2"/>
  <c r="T50" i="2"/>
  <c r="AH50" i="2"/>
  <c r="AH19" i="2"/>
  <c r="AH18" i="2"/>
  <c r="T19" i="2"/>
  <c r="U16" i="1"/>
  <c r="T18" i="2"/>
  <c r="T5" i="2"/>
  <c r="G154" i="1"/>
  <c r="J99" i="1"/>
  <c r="J102" i="1" s="1"/>
  <c r="F100" i="1"/>
  <c r="F99" i="1"/>
  <c r="H102" i="1"/>
  <c r="I102" i="1"/>
  <c r="G102" i="1"/>
  <c r="H157" i="1"/>
  <c r="I157" i="1"/>
  <c r="J157" i="1"/>
  <c r="G157" i="1"/>
  <c r="G158" i="1" s="1"/>
  <c r="X17" i="1"/>
  <c r="X18" i="1" s="1"/>
  <c r="W17" i="1"/>
  <c r="W18" i="1" s="1"/>
  <c r="V17" i="1"/>
  <c r="V18" i="1"/>
  <c r="U17" i="1"/>
  <c r="U18" i="1" s="1"/>
  <c r="O17" i="1"/>
  <c r="O18" i="1" s="1"/>
  <c r="P17" i="1"/>
  <c r="P18" i="1" s="1"/>
  <c r="Q17" i="1"/>
  <c r="Q18" i="1" s="1"/>
  <c r="R17" i="1"/>
  <c r="R18" i="1" s="1"/>
  <c r="R15" i="1"/>
  <c r="T49" i="2"/>
  <c r="AH17" i="2"/>
  <c r="T17" i="2"/>
  <c r="T47" i="2"/>
  <c r="T48" i="2"/>
  <c r="AH47" i="2"/>
  <c r="AH48" i="2"/>
  <c r="AH15" i="2"/>
  <c r="AH16" i="2"/>
  <c r="T15" i="2"/>
  <c r="T16" i="2"/>
  <c r="AH14" i="2"/>
  <c r="F152" i="1"/>
  <c r="F153" i="1"/>
  <c r="F154" i="1"/>
  <c r="F155" i="1"/>
  <c r="G101" i="1"/>
  <c r="B101" i="1"/>
  <c r="C101" i="1"/>
  <c r="D101" i="1"/>
  <c r="E101" i="1"/>
  <c r="H155" i="1"/>
  <c r="I155" i="1"/>
  <c r="J155" i="1"/>
  <c r="G152" i="1"/>
  <c r="B156" i="1"/>
  <c r="B117" i="1"/>
  <c r="I117" i="1"/>
  <c r="H117" i="1"/>
  <c r="H137" i="1"/>
  <c r="I137" i="1"/>
  <c r="G143" i="1"/>
  <c r="F143" i="1"/>
  <c r="I133" i="1"/>
  <c r="F133" i="1"/>
  <c r="I124" i="1"/>
  <c r="H124" i="1"/>
  <c r="H115" i="1"/>
  <c r="G116" i="1"/>
  <c r="G115" i="1"/>
  <c r="F115" i="1"/>
  <c r="B147" i="1"/>
  <c r="B137" i="1"/>
  <c r="B126" i="1"/>
  <c r="M33" i="1"/>
  <c r="M34" i="1" s="1"/>
  <c r="L33" i="1"/>
  <c r="L34" i="1" s="1"/>
  <c r="M32" i="1"/>
  <c r="H100" i="1"/>
  <c r="I100" i="1"/>
  <c r="J100" i="1"/>
  <c r="H99" i="1"/>
  <c r="I99" i="1"/>
  <c r="G99" i="1"/>
  <c r="G100" i="1"/>
  <c r="F89" i="1"/>
  <c r="V16" i="1"/>
  <c r="W16" i="1"/>
  <c r="X16" i="1"/>
  <c r="R16" i="1"/>
  <c r="Q16" i="1"/>
  <c r="P16" i="1"/>
  <c r="O16" i="1"/>
  <c r="V15" i="1"/>
  <c r="U15" i="1"/>
  <c r="X15" i="1"/>
  <c r="W15" i="1"/>
  <c r="Q15" i="1"/>
  <c r="P15" i="1"/>
  <c r="O15" i="1"/>
  <c r="L15" i="1"/>
  <c r="K15" i="1"/>
  <c r="J15" i="1"/>
  <c r="G153" i="1"/>
  <c r="H153" i="1"/>
  <c r="I153" i="1"/>
  <c r="J153" i="1"/>
  <c r="H154" i="1"/>
  <c r="I154" i="1"/>
  <c r="J154" i="1"/>
  <c r="G155" i="1"/>
  <c r="H152" i="1"/>
  <c r="I152" i="1"/>
  <c r="J152" i="1"/>
  <c r="I144" i="1"/>
  <c r="G141" i="1"/>
  <c r="H141" i="1"/>
  <c r="I141" i="1"/>
  <c r="G142" i="1"/>
  <c r="H142" i="1"/>
  <c r="I142" i="1"/>
  <c r="I143" i="1"/>
  <c r="F142" i="1"/>
  <c r="F141" i="1"/>
  <c r="G131" i="1"/>
  <c r="G137" i="1" s="1"/>
  <c r="H131" i="1"/>
  <c r="I131" i="1"/>
  <c r="G132" i="1"/>
  <c r="H132" i="1"/>
  <c r="I132" i="1"/>
  <c r="H133" i="1"/>
  <c r="H134" i="1"/>
  <c r="F132" i="1"/>
  <c r="F131" i="1"/>
  <c r="F137" i="1" s="1"/>
  <c r="G122" i="1"/>
  <c r="G126" i="1" s="1"/>
  <c r="H122" i="1"/>
  <c r="H126" i="1" s="1"/>
  <c r="I122" i="1"/>
  <c r="I126" i="1" s="1"/>
  <c r="G123" i="1"/>
  <c r="H123" i="1"/>
  <c r="I123" i="1"/>
  <c r="G124" i="1"/>
  <c r="F123" i="1"/>
  <c r="F124" i="1"/>
  <c r="F122" i="1"/>
  <c r="F126" i="1" s="1"/>
  <c r="G113" i="1"/>
  <c r="G117" i="1" s="1"/>
  <c r="H113" i="1"/>
  <c r="I113" i="1"/>
  <c r="G114" i="1"/>
  <c r="H114" i="1"/>
  <c r="I114" i="1"/>
  <c r="F114" i="1"/>
  <c r="F113" i="1"/>
  <c r="F117" i="1" s="1"/>
  <c r="E156" i="1"/>
  <c r="D156" i="1"/>
  <c r="C156" i="1"/>
  <c r="E147" i="1"/>
  <c r="D147" i="1"/>
  <c r="C147" i="1"/>
  <c r="E137" i="1"/>
  <c r="D137" i="1"/>
  <c r="C137" i="1"/>
  <c r="E126" i="1"/>
  <c r="D126" i="1"/>
  <c r="C126" i="1"/>
  <c r="E117" i="1"/>
  <c r="D117" i="1"/>
  <c r="C117" i="1"/>
  <c r="G89" i="1"/>
  <c r="J90" i="1"/>
  <c r="J91" i="1"/>
  <c r="J92" i="1"/>
  <c r="J93" i="1"/>
  <c r="J94" i="1"/>
  <c r="J95" i="1"/>
  <c r="J96" i="1"/>
  <c r="J97" i="1"/>
  <c r="J98" i="1"/>
  <c r="I90" i="1"/>
  <c r="I91" i="1"/>
  <c r="I92" i="1"/>
  <c r="I93" i="1"/>
  <c r="I94" i="1"/>
  <c r="I95" i="1"/>
  <c r="I96" i="1"/>
  <c r="I97" i="1"/>
  <c r="I98" i="1"/>
  <c r="H90" i="1"/>
  <c r="H91" i="1"/>
  <c r="H92" i="1"/>
  <c r="H93" i="1"/>
  <c r="H94" i="1"/>
  <c r="H95" i="1"/>
  <c r="H96" i="1"/>
  <c r="H97" i="1"/>
  <c r="H98" i="1"/>
  <c r="H89" i="1"/>
  <c r="I89" i="1"/>
  <c r="J89" i="1"/>
  <c r="G90" i="1"/>
  <c r="G91" i="1"/>
  <c r="G92" i="1"/>
  <c r="G93" i="1"/>
  <c r="G94" i="1"/>
  <c r="G95" i="1"/>
  <c r="G96" i="1"/>
  <c r="G97" i="1"/>
  <c r="G98" i="1"/>
  <c r="L32" i="1"/>
  <c r="F44" i="1"/>
  <c r="AH5" i="2"/>
  <c r="T14" i="2"/>
  <c r="T13" i="2"/>
  <c r="T12" i="2"/>
  <c r="T11" i="2"/>
  <c r="T10" i="2"/>
  <c r="T9" i="2"/>
  <c r="T8" i="2"/>
  <c r="T7" i="2"/>
  <c r="T6" i="2"/>
  <c r="T46" i="2"/>
  <c r="AH46" i="2"/>
  <c r="AH45" i="2"/>
  <c r="AH44" i="2"/>
  <c r="AH43" i="2"/>
  <c r="AH42" i="2"/>
  <c r="AH41" i="2"/>
  <c r="AH40" i="2"/>
  <c r="AH39" i="2"/>
  <c r="AH38" i="2"/>
  <c r="AH37" i="2"/>
  <c r="T45" i="2"/>
  <c r="T44" i="2"/>
  <c r="T43" i="2"/>
  <c r="T42" i="2"/>
  <c r="T41" i="2"/>
  <c r="T40" i="2"/>
  <c r="T39" i="2"/>
  <c r="T38" i="2"/>
  <c r="T37" i="2"/>
  <c r="AH13" i="2"/>
  <c r="AH12" i="2"/>
  <c r="AH11" i="2"/>
  <c r="AH10" i="2"/>
  <c r="AH9" i="2"/>
  <c r="AH8" i="2"/>
  <c r="AH7" i="2"/>
  <c r="AH6" i="2"/>
  <c r="F91" i="1"/>
  <c r="F92" i="1"/>
  <c r="F90" i="1"/>
  <c r="F93" i="1"/>
  <c r="F94" i="1"/>
  <c r="F95" i="1"/>
  <c r="F96" i="1"/>
  <c r="F97" i="1"/>
  <c r="F98" i="1"/>
  <c r="F45" i="1"/>
  <c r="F46" i="1"/>
  <c r="F47" i="1"/>
  <c r="C48" i="1"/>
  <c r="D48" i="1"/>
  <c r="E48" i="1"/>
  <c r="B48" i="1"/>
  <c r="D33" i="1"/>
  <c r="E40" i="1"/>
  <c r="C40" i="1"/>
  <c r="D40" i="1"/>
  <c r="B40" i="1"/>
  <c r="E33" i="1"/>
  <c r="B33" i="1"/>
  <c r="B26" i="1"/>
  <c r="C26" i="1"/>
  <c r="C33" i="1"/>
  <c r="D26" i="1"/>
  <c r="E26" i="1"/>
  <c r="C20" i="1"/>
  <c r="D20" i="1"/>
  <c r="E20" i="1"/>
  <c r="B20" i="1"/>
  <c r="AH49" i="2" l="1"/>
  <c r="I147" i="1"/>
  <c r="H147" i="1"/>
  <c r="F147" i="1"/>
  <c r="G147" i="1"/>
  <c r="J101" i="1"/>
  <c r="I101" i="1"/>
  <c r="H101" i="1"/>
  <c r="J103" i="1"/>
  <c r="G103" i="1"/>
  <c r="H156" i="1"/>
  <c r="I156" i="1"/>
  <c r="J156" i="1"/>
  <c r="J158" i="1"/>
  <c r="I158" i="1"/>
  <c r="H158" i="1"/>
  <c r="G156" i="1" l="1"/>
  <c r="H103" i="1"/>
  <c r="I103" i="1"/>
</calcChain>
</file>

<file path=xl/sharedStrings.xml><?xml version="1.0" encoding="utf-8"?>
<sst xmlns="http://schemas.openxmlformats.org/spreadsheetml/2006/main" count="268" uniqueCount="75">
  <si>
    <t>Commands</t>
  </si>
  <si>
    <t>Mistakes</t>
  </si>
  <si>
    <t>Interventions</t>
  </si>
  <si>
    <t>Participant</t>
  </si>
  <si>
    <t>Audio</t>
  </si>
  <si>
    <t>Discontinuous</t>
  </si>
  <si>
    <t>Continuous</t>
  </si>
  <si>
    <t>Map</t>
  </si>
  <si>
    <t>Average Steps</t>
  </si>
  <si>
    <t>Average</t>
  </si>
  <si>
    <t>Mode</t>
  </si>
  <si>
    <t>R1</t>
  </si>
  <si>
    <t>STD DEV</t>
  </si>
  <si>
    <t>Latin Square</t>
  </si>
  <si>
    <t>STD ERROR</t>
  </si>
  <si>
    <t>R2</t>
  </si>
  <si>
    <t>R3</t>
  </si>
  <si>
    <t>R4</t>
  </si>
  <si>
    <t>Amp cs</t>
  </si>
  <si>
    <t>Amp ds</t>
  </si>
  <si>
    <t>m</t>
  </si>
  <si>
    <t>a</t>
  </si>
  <si>
    <t>ds</t>
  </si>
  <si>
    <t>cs</t>
  </si>
  <si>
    <t xml:space="preserve"> m</t>
  </si>
  <si>
    <t>Avg</t>
  </si>
  <si>
    <t>m=Map</t>
  </si>
  <si>
    <t>Std dev</t>
  </si>
  <si>
    <t>a=Audio</t>
  </si>
  <si>
    <t>Std err</t>
  </si>
  <si>
    <t>ds=Discontinuous</t>
  </si>
  <si>
    <t>cs=Continuous</t>
  </si>
  <si>
    <t>Route/Modality with time</t>
  </si>
  <si>
    <t>Fastest Route = R2</t>
  </si>
  <si>
    <t>Fastest Modality = Audio</t>
  </si>
  <si>
    <t>Slowest Route = R3</t>
  </si>
  <si>
    <t>Slowest Modality = Countinuous</t>
  </si>
  <si>
    <t>Time</t>
  </si>
  <si>
    <t xml:space="preserve"> </t>
  </si>
  <si>
    <t>Average time</t>
  </si>
  <si>
    <t>Std error</t>
  </si>
  <si>
    <t>Map Sec</t>
  </si>
  <si>
    <t>Audio Sec</t>
  </si>
  <si>
    <t>DS Sec</t>
  </si>
  <si>
    <t>CS Sec</t>
  </si>
  <si>
    <t>Rounded Average Values</t>
  </si>
  <si>
    <t>Question</t>
  </si>
  <si>
    <t>SUS Score</t>
  </si>
  <si>
    <t>Average SUS Score</t>
  </si>
  <si>
    <t>Audio based</t>
  </si>
  <si>
    <t>Electrotactile Continuous</t>
  </si>
  <si>
    <t>Electrotactile Discontinuous</t>
  </si>
  <si>
    <t>Map_irritating</t>
  </si>
  <si>
    <t>Map_distracting</t>
  </si>
  <si>
    <t>Map_tired</t>
  </si>
  <si>
    <t>Map_confident</t>
  </si>
  <si>
    <t>Audio based_irritating</t>
  </si>
  <si>
    <t>Audio based_distracting</t>
  </si>
  <si>
    <t>Audio based_tired</t>
  </si>
  <si>
    <t>Audio based_continuous</t>
  </si>
  <si>
    <t>Electrotactile Discontinuous_irritating</t>
  </si>
  <si>
    <t>Electrotactile Discontinuous_distracting</t>
  </si>
  <si>
    <t>Electrotactile Discontinuous_tired</t>
  </si>
  <si>
    <t>Electrotactile Discontinuous_itchy</t>
  </si>
  <si>
    <t>Electrotactile Continuous_irritating</t>
  </si>
  <si>
    <t>Electrotactile Continuous_distracting</t>
  </si>
  <si>
    <t>Electrotactile Continuous_tired</t>
  </si>
  <si>
    <t>Electrotactile Continuous_itchy</t>
  </si>
  <si>
    <t>Feedback</t>
  </si>
  <si>
    <t>['', 'More direction options or preemptive directions', '', '', 'I believe that the minimum instruction used was perfect to follow. ', '', '', '', '', 'Difficulty in controlling pace', '', "Bit annoying when there's only one clear path"]</t>
  </si>
  <si>
    <t>['', 'The continuous modality could be confusing ', '', '', 'I did feel a bit confused in trying to figure out which patch was buzzing so I had to stop and think. Feels a little time consuming for initial use but can be very effective when learnt thoroughly ', "Maybe first time it was weird but if you use it frequently, it won't be that much wierd", 'LF and RF intensity was poor due to  the bag', '', '', 'Timing of signals', 'Someones I for confused between go forward and when it asked me to take a slight left or right as both signals are similar but missing half of the vibration. So I had to stop and wait to see did I miss the 2nd vibration or is it a turn.', 'Because of continuous feedback I found it hard to tell when I was getting turn instructions']</t>
  </si>
  <si>
    <t>['', '', '', '', "Personally a visual learning so it's always best for me to see the route and where I am going and to keep an eye for landmarks. ", '', '', '', '', '', 'I was missing feedback of where I was on the map. I felt I had to concentrate a lot more to make sure I don't miss my turns or lose track of where I am. I definitely felt more pore to being lost using the map.', 'Got lost!']</t>
  </si>
  <si>
    <t>['', '', '', '', 'Much better to use than continuous. Very easy to follow ', 'It was a bit weird', '', '', '', '', 'I like that I can still be aware and hear my surroundings. Did not feel like a tourist', 'Found it a bit hard to feel while walking']</t>
  </si>
  <si>
    <t>SE</t>
  </si>
  <si>
    <t>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</si>
</sst>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sz val="11"/>
      <color rgb="FFFF0000"/>
      <name val="Calibri"/>
      <family val="2"/>
      <scheme val="minor"/>
    </font>
    <font>
      <u/>
      <sz val="11"/>
      <color theme="10"/>
      <name val="Calibri"/>
      <family val="2"/>
      <scheme val="minor"/>
    </font>
    <font>
      <sz val="11"/>
      <name val="Calibri"/>
      <family val="2"/>
      <scheme val="minor"/>
    </font>
    <font>
      <sz val="11"/>
      <color rgb="FF0070C0"/>
      <name val="Calibri"/>
      <family val="2"/>
      <scheme val="minor"/>
    </font>
    <font>
      <b/>
      <sz val="11"/>
      <color theme="1"/>
      <name val="Calibri"/>
      <family val="2"/>
      <scheme val="minor"/>
    </font>
    <font>
      <sz val="8"/>
      <name val="Calibri"/>
      <family val="2"/>
      <scheme val="minor"/>
    </font>
    <font>
      <sz val="11"/>
      <color theme="9" tint="-0.249977111117893"/>
      <name val="Calibri"/>
      <family val="2"/>
      <scheme val="minor"/>
    </font>
    <font>
      <sz val="10"/>
      <color theme="9" tint="-0.249977111117893"/>
      <name val="Arial"/>
      <family val="2"/>
    </font>
    <font>
      <sz val="11"/>
      <color indexed="8"/>
      <name val="Calibri"/>
      <family val="2"/>
      <scheme val="minor"/>
    </font>
    <font>
      <b/>
      <sz val="11"/>
      <color rgb="FF00B0F0"/>
      <name val="Calibri"/>
      <family val="2"/>
      <scheme val="minor"/>
    </font>
    <font>
      <sz val="11"/>
      <color theme="4"/>
      <name val="Calibri"/>
      <family val="2"/>
      <scheme val="minor"/>
    </font>
    <font>
      <sz val="11"/>
      <color theme="5" tint="-0.499984740745262"/>
      <name val="Calibri"/>
      <family val="2"/>
      <scheme val="minor"/>
    </font>
  </fonts>
  <fills count="5">
    <fill>
      <patternFill patternType="none"/>
    </fill>
    <fill>
      <patternFill patternType="gray125"/>
    </fill>
    <fill>
      <patternFill patternType="solid">
        <fgColor theme="9"/>
        <bgColor indexed="64"/>
      </patternFill>
    </fill>
    <fill>
      <patternFill patternType="solid">
        <fgColor theme="7" tint="0.39997558519241921"/>
        <bgColor indexed="64"/>
      </patternFill>
    </fill>
    <fill>
      <patternFill patternType="solid">
        <fgColor theme="2" tint="-0.249977111117893"/>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3" fillId="0" borderId="0" xfId="1" applyFont="1"/>
    <xf numFmtId="0" fontId="1" fillId="0" borderId="0" xfId="0" applyFont="1"/>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0" fillId="0" borderId="2" xfId="0" applyBorder="1"/>
    <xf numFmtId="0" fontId="0" fillId="3" borderId="2" xfId="0" applyFill="1" applyBorder="1"/>
    <xf numFmtId="0" fontId="0" fillId="2" borderId="2" xfId="0" applyFill="1" applyBorder="1"/>
    <xf numFmtId="0" fontId="0" fillId="4" borderId="2" xfId="0" applyFill="1" applyBorder="1"/>
    <xf numFmtId="0" fontId="3" fillId="0" borderId="0" xfId="1" applyFont="1" applyBorder="1"/>
    <xf numFmtId="0" fontId="3" fillId="0" borderId="1" xfId="1" applyFont="1" applyBorder="1"/>
    <xf numFmtId="21" fontId="0" fillId="0" borderId="1" xfId="0" applyNumberFormat="1" applyBorder="1"/>
    <xf numFmtId="0" fontId="1" fillId="0" borderId="1" xfId="0" applyFont="1" applyBorder="1"/>
    <xf numFmtId="21" fontId="1" fillId="0" borderId="0" xfId="0" applyNumberFormat="1" applyFont="1"/>
    <xf numFmtId="21" fontId="3" fillId="0" borderId="1" xfId="0" applyNumberFormat="1"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6" xfId="0" applyFont="1" applyBorder="1"/>
    <xf numFmtId="0" fontId="1" fillId="0" borderId="7" xfId="0" applyFont="1" applyBorder="1"/>
    <xf numFmtId="0" fontId="4" fillId="0" borderId="8" xfId="0" applyFont="1" applyBorder="1"/>
    <xf numFmtId="0" fontId="4" fillId="0" borderId="9" xfId="0" applyFont="1" applyBorder="1"/>
    <xf numFmtId="0" fontId="4" fillId="0" borderId="10" xfId="0" applyFont="1" applyBorder="1"/>
    <xf numFmtId="0" fontId="1" fillId="0" borderId="8" xfId="0" applyFont="1" applyBorder="1"/>
    <xf numFmtId="0" fontId="1" fillId="0" borderId="9" xfId="0" applyFont="1" applyBorder="1"/>
    <xf numFmtId="0" fontId="1" fillId="0" borderId="10" xfId="0" applyFont="1" applyBorder="1"/>
    <xf numFmtId="0" fontId="0" fillId="0" borderId="11" xfId="0" applyBorder="1"/>
    <xf numFmtId="21" fontId="1" fillId="0" borderId="7" xfId="0" applyNumberFormat="1" applyFont="1" applyBorder="1"/>
    <xf numFmtId="21" fontId="1" fillId="0" borderId="9" xfId="0" applyNumberFormat="1" applyFont="1" applyBorder="1"/>
    <xf numFmtId="0" fontId="3" fillId="0" borderId="4" xfId="1" applyFont="1" applyBorder="1"/>
    <xf numFmtId="21" fontId="0" fillId="0" borderId="7" xfId="0" applyNumberFormat="1" applyBorder="1"/>
    <xf numFmtId="21" fontId="1" fillId="0" borderId="10" xfId="0" applyNumberFormat="1" applyFont="1" applyBorder="1"/>
    <xf numFmtId="0" fontId="0" fillId="0" borderId="12" xfId="0" applyBorder="1"/>
    <xf numFmtId="0" fontId="0" fillId="0" borderId="13" xfId="0" applyBorder="1"/>
    <xf numFmtId="0" fontId="0" fillId="0" borderId="10" xfId="0" applyBorder="1"/>
    <xf numFmtId="0" fontId="4" fillId="0" borderId="14" xfId="0" applyFont="1" applyBorder="1"/>
    <xf numFmtId="0" fontId="7" fillId="0" borderId="15" xfId="0" applyFont="1" applyBorder="1"/>
    <xf numFmtId="0" fontId="1" fillId="0" borderId="14" xfId="0" applyFont="1" applyBorder="1"/>
    <xf numFmtId="164" fontId="8" fillId="0" borderId="15" xfId="0" applyNumberFormat="1" applyFont="1" applyBorder="1"/>
    <xf numFmtId="0" fontId="1" fillId="0" borderId="16" xfId="0" applyFont="1" applyBorder="1"/>
    <xf numFmtId="0" fontId="5" fillId="0" borderId="4" xfId="0" applyFont="1" applyBorder="1"/>
    <xf numFmtId="0" fontId="0" fillId="2" borderId="19" xfId="0" applyFill="1" applyBorder="1"/>
    <xf numFmtId="0" fontId="0" fillId="3" borderId="20" xfId="0" applyFill="1" applyBorder="1"/>
    <xf numFmtId="0" fontId="0" fillId="4" borderId="20" xfId="0" applyFill="1" applyBorder="1"/>
    <xf numFmtId="0" fontId="0" fillId="0" borderId="21" xfId="0" applyBorder="1"/>
    <xf numFmtId="164" fontId="10" fillId="0" borderId="18" xfId="0" applyNumberFormat="1" applyFont="1" applyBorder="1"/>
    <xf numFmtId="0" fontId="0" fillId="0" borderId="14" xfId="0" applyBorder="1"/>
    <xf numFmtId="164" fontId="10" fillId="0" borderId="0" xfId="0" applyNumberFormat="1" applyFont="1"/>
    <xf numFmtId="1" fontId="0" fillId="0" borderId="0" xfId="0" applyNumberFormat="1"/>
    <xf numFmtId="0" fontId="0" fillId="0" borderId="15" xfId="0" applyBorder="1"/>
    <xf numFmtId="1" fontId="3" fillId="0" borderId="16" xfId="0" applyNumberFormat="1" applyFont="1" applyBorder="1"/>
    <xf numFmtId="1" fontId="0" fillId="0" borderId="17" xfId="0" applyNumberFormat="1" applyBorder="1"/>
    <xf numFmtId="1" fontId="0" fillId="0" borderId="18" xfId="0" applyNumberFormat="1" applyBorder="1"/>
    <xf numFmtId="0" fontId="5" fillId="0" borderId="0" xfId="0" applyFont="1"/>
    <xf numFmtId="0" fontId="0" fillId="0" borderId="19" xfId="0" applyBorder="1"/>
    <xf numFmtId="0" fontId="0" fillId="0" borderId="20" xfId="0" applyBorder="1"/>
    <xf numFmtId="0" fontId="0" fillId="0" borderId="0" xfId="0" applyAlignment="1">
      <alignment wrapText="1"/>
    </xf>
    <xf numFmtId="21" fontId="1" fillId="0" borderId="1" xfId="0" applyNumberFormat="1" applyFont="1" applyBorder="1"/>
    <xf numFmtId="0" fontId="11" fillId="0" borderId="0" xfId="0" applyFont="1"/>
    <xf numFmtId="0" fontId="12" fillId="0" borderId="0" xfId="0" applyFont="1"/>
    <xf numFmtId="0" fontId="11" fillId="0" borderId="1" xfId="0" applyFont="1" applyBorder="1"/>
    <xf numFmtId="0" fontId="0" fillId="0" borderId="8" xfId="0" applyBorder="1"/>
    <xf numFmtId="0" fontId="0" fillId="0" borderId="9" xfId="0" applyBorder="1"/>
    <xf numFmtId="0" fontId="12" fillId="0" borderId="9" xfId="0" applyFont="1" applyBorder="1"/>
    <xf numFmtId="0" fontId="12" fillId="0" borderId="10" xfId="0" applyFont="1" applyBorder="1"/>
    <xf numFmtId="0" fontId="0" fillId="0" borderId="22" xfId="0" applyBorder="1"/>
    <xf numFmtId="0" fontId="0" fillId="0" borderId="23" xfId="0" applyBorder="1"/>
    <xf numFmtId="21" fontId="0" fillId="0" borderId="23" xfId="0" applyNumberFormat="1" applyBorder="1"/>
    <xf numFmtId="0" fontId="0" fillId="0" borderId="24" xfId="0" applyBorder="1"/>
    <xf numFmtId="2" fontId="1" fillId="0" borderId="10" xfId="0" applyNumberFormat="1" applyFont="1" applyBorder="1"/>
    <xf numFmtId="2" fontId="1" fillId="0" borderId="16" xfId="0" applyNumberFormat="1" applyFont="1" applyBorder="1"/>
    <xf numFmtId="2" fontId="1" fillId="0" borderId="17" xfId="0" applyNumberFormat="1" applyFont="1" applyBorder="1"/>
    <xf numFmtId="2" fontId="1" fillId="0" borderId="18" xfId="0" applyNumberFormat="1" applyFont="1" applyBorder="1"/>
    <xf numFmtId="0" fontId="1" fillId="0" borderId="25" xfId="0" applyFont="1" applyBorder="1"/>
    <xf numFmtId="21" fontId="1" fillId="0" borderId="25" xfId="0" applyNumberFormat="1" applyFont="1" applyBorder="1"/>
    <xf numFmtId="0" fontId="0" fillId="0" borderId="26" xfId="0" applyBorder="1"/>
    <xf numFmtId="2" fontId="1" fillId="0" borderId="14" xfId="0" applyNumberFormat="1" applyFont="1" applyBorder="1"/>
    <xf numFmtId="2" fontId="1" fillId="0" borderId="0" xfId="0" applyNumberFormat="1" applyFont="1"/>
    <xf numFmtId="2" fontId="1" fillId="0" borderId="15" xfId="0" applyNumberFormat="1" applyFont="1" applyBorder="1"/>
    <xf numFmtId="2" fontId="1" fillId="0" borderId="27" xfId="0" applyNumberFormat="1" applyFont="1" applyBorder="1"/>
    <xf numFmtId="0" fontId="0" fillId="0" borderId="28" xfId="0" applyBorder="1"/>
    <xf numFmtId="21" fontId="0" fillId="0" borderId="25" xfId="0" applyNumberFormat="1" applyBorder="1"/>
    <xf numFmtId="21" fontId="1" fillId="0" borderId="26" xfId="0" applyNumberFormat="1" applyFont="1" applyBorder="1"/>
    <xf numFmtId="1" fontId="0" fillId="0" borderId="14" xfId="0" applyNumberFormat="1" applyBorder="1"/>
    <xf numFmtId="1" fontId="0" fillId="0" borderId="15" xfId="0" applyNumberFormat="1" applyBorder="1"/>
    <xf numFmtId="164" fontId="12" fillId="0" borderId="16" xfId="0" applyNumberFormat="1" applyFont="1" applyBorder="1"/>
    <xf numFmtId="164" fontId="12" fillId="0" borderId="17" xfId="0" applyNumberFormat="1" applyFont="1" applyBorder="1"/>
    <xf numFmtId="164" fontId="12" fillId="0" borderId="18" xfId="0" applyNumberFormat="1" applyFont="1" applyBorder="1"/>
    <xf numFmtId="165" fontId="1" fillId="0" borderId="1" xfId="0" applyNumberFormat="1" applyFont="1" applyBorder="1"/>
    <xf numFmtId="165" fontId="1" fillId="0" borderId="7" xfId="0" applyNumberFormat="1" applyFont="1" applyBorder="1"/>
    <xf numFmtId="21" fontId="0" fillId="0" borderId="0" xfId="0" applyNumberFormat="1"/>
    <xf numFmtId="0" fontId="4" fillId="0" borderId="0" xfId="0" applyFont="1"/>
    <xf numFmtId="0" fontId="0" fillId="0" borderId="17" xfId="0" applyBorder="1" applyAlignment="1">
      <alignment wrapText="1"/>
    </xf>
    <xf numFmtId="0" fontId="9" fillId="0" borderId="0" xfId="0" applyFont="1" applyAlignment="1">
      <alignment wrapText="1"/>
    </xf>
    <xf numFmtId="0" fontId="0" fillId="0" borderId="17" xfId="0" applyBorder="1"/>
    <xf numFmtId="0" fontId="9" fillId="0" borderId="17" xfId="0" applyFont="1" applyBorder="1" applyAlignment="1">
      <alignment wrapText="1"/>
    </xf>
    <xf numFmtId="2" fontId="11" fillId="0" borderId="0" xfId="0" applyNumberFormat="1" applyFont="1"/>
    <xf numFmtId="2" fontId="11" fillId="0" borderId="29" xfId="0" applyNumberFormat="1" applyFont="1" applyBorder="1"/>
    <xf numFmtId="2" fontId="11" fillId="0" borderId="30" xfId="0" applyNumberFormat="1" applyFont="1" applyBorder="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 taken</a:t>
            </a:r>
            <a:r>
              <a:rPr lang="en-IN" baseline="0"/>
              <a:t> by each participant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data'!$G$88</c:f>
              <c:strCache>
                <c:ptCount val="1"/>
                <c:pt idx="0">
                  <c:v>Map</c:v>
                </c:pt>
              </c:strCache>
            </c:strRef>
          </c:tx>
          <c:spPr>
            <a:solidFill>
              <a:schemeClr val="accent1"/>
            </a:solidFill>
            <a:ln>
              <a:noFill/>
            </a:ln>
            <a:effectLst/>
          </c:spPr>
          <c:invertIfNegative val="0"/>
          <c:val>
            <c:numRef>
              <c:f>'Log data'!$G$89:$G$98</c:f>
              <c:numCache>
                <c:formatCode>General</c:formatCode>
                <c:ptCount val="10"/>
                <c:pt idx="0">
                  <c:v>129</c:v>
                </c:pt>
                <c:pt idx="1">
                  <c:v>139</c:v>
                </c:pt>
                <c:pt idx="2">
                  <c:v>130</c:v>
                </c:pt>
                <c:pt idx="3">
                  <c:v>126</c:v>
                </c:pt>
                <c:pt idx="4">
                  <c:v>112</c:v>
                </c:pt>
                <c:pt idx="5">
                  <c:v>189</c:v>
                </c:pt>
                <c:pt idx="6">
                  <c:v>173</c:v>
                </c:pt>
                <c:pt idx="7">
                  <c:v>123</c:v>
                </c:pt>
                <c:pt idx="8">
                  <c:v>92</c:v>
                </c:pt>
                <c:pt idx="9">
                  <c:v>115</c:v>
                </c:pt>
              </c:numCache>
            </c:numRef>
          </c:val>
          <c:extLst>
            <c:ext xmlns:c16="http://schemas.microsoft.com/office/drawing/2014/chart" uri="{C3380CC4-5D6E-409C-BE32-E72D297353CC}">
              <c16:uniqueId val="{00000000-EAA0-439F-91CB-6EC7906120DD}"/>
            </c:ext>
          </c:extLst>
        </c:ser>
        <c:ser>
          <c:idx val="1"/>
          <c:order val="1"/>
          <c:tx>
            <c:strRef>
              <c:f>'Log data'!$H$88</c:f>
              <c:strCache>
                <c:ptCount val="1"/>
                <c:pt idx="0">
                  <c:v>Audio</c:v>
                </c:pt>
              </c:strCache>
            </c:strRef>
          </c:tx>
          <c:spPr>
            <a:solidFill>
              <a:schemeClr val="accent2"/>
            </a:solidFill>
            <a:ln>
              <a:noFill/>
            </a:ln>
            <a:effectLst/>
          </c:spPr>
          <c:invertIfNegative val="0"/>
          <c:val>
            <c:numRef>
              <c:f>'Log data'!$H$89:$H$98</c:f>
              <c:numCache>
                <c:formatCode>General</c:formatCode>
                <c:ptCount val="10"/>
                <c:pt idx="0">
                  <c:v>105</c:v>
                </c:pt>
                <c:pt idx="1">
                  <c:v>142</c:v>
                </c:pt>
                <c:pt idx="2">
                  <c:v>122</c:v>
                </c:pt>
                <c:pt idx="3">
                  <c:v>116</c:v>
                </c:pt>
                <c:pt idx="4">
                  <c:v>137</c:v>
                </c:pt>
                <c:pt idx="5">
                  <c:v>141</c:v>
                </c:pt>
                <c:pt idx="6">
                  <c:v>121</c:v>
                </c:pt>
                <c:pt idx="7">
                  <c:v>132</c:v>
                </c:pt>
                <c:pt idx="8">
                  <c:v>134</c:v>
                </c:pt>
                <c:pt idx="9">
                  <c:v>110</c:v>
                </c:pt>
              </c:numCache>
            </c:numRef>
          </c:val>
          <c:extLst>
            <c:ext xmlns:c16="http://schemas.microsoft.com/office/drawing/2014/chart" uri="{C3380CC4-5D6E-409C-BE32-E72D297353CC}">
              <c16:uniqueId val="{00000001-EAA0-439F-91CB-6EC7906120DD}"/>
            </c:ext>
          </c:extLst>
        </c:ser>
        <c:ser>
          <c:idx val="2"/>
          <c:order val="2"/>
          <c:tx>
            <c:strRef>
              <c:f>'Log data'!$I$88</c:f>
              <c:strCache>
                <c:ptCount val="1"/>
                <c:pt idx="0">
                  <c:v>Discontinuous</c:v>
                </c:pt>
              </c:strCache>
            </c:strRef>
          </c:tx>
          <c:spPr>
            <a:solidFill>
              <a:schemeClr val="accent3"/>
            </a:solidFill>
            <a:ln>
              <a:noFill/>
            </a:ln>
            <a:effectLst/>
          </c:spPr>
          <c:invertIfNegative val="0"/>
          <c:val>
            <c:numRef>
              <c:f>'Log data'!$I$89:$I$98</c:f>
              <c:numCache>
                <c:formatCode>General</c:formatCode>
                <c:ptCount val="10"/>
                <c:pt idx="0">
                  <c:v>153</c:v>
                </c:pt>
                <c:pt idx="1">
                  <c:v>219</c:v>
                </c:pt>
                <c:pt idx="2">
                  <c:v>105</c:v>
                </c:pt>
                <c:pt idx="3">
                  <c:v>181</c:v>
                </c:pt>
                <c:pt idx="4">
                  <c:v>118</c:v>
                </c:pt>
                <c:pt idx="5">
                  <c:v>170</c:v>
                </c:pt>
                <c:pt idx="6">
                  <c:v>124</c:v>
                </c:pt>
                <c:pt idx="7">
                  <c:v>157</c:v>
                </c:pt>
                <c:pt idx="8">
                  <c:v>140</c:v>
                </c:pt>
                <c:pt idx="9">
                  <c:v>141</c:v>
                </c:pt>
              </c:numCache>
            </c:numRef>
          </c:val>
          <c:extLst>
            <c:ext xmlns:c16="http://schemas.microsoft.com/office/drawing/2014/chart" uri="{C3380CC4-5D6E-409C-BE32-E72D297353CC}">
              <c16:uniqueId val="{00000002-EAA0-439F-91CB-6EC7906120DD}"/>
            </c:ext>
          </c:extLst>
        </c:ser>
        <c:ser>
          <c:idx val="3"/>
          <c:order val="3"/>
          <c:tx>
            <c:strRef>
              <c:f>'Log data'!$J$88</c:f>
              <c:strCache>
                <c:ptCount val="1"/>
                <c:pt idx="0">
                  <c:v>Continuous</c:v>
                </c:pt>
              </c:strCache>
            </c:strRef>
          </c:tx>
          <c:spPr>
            <a:solidFill>
              <a:schemeClr val="accent4"/>
            </a:solidFill>
            <a:ln>
              <a:noFill/>
            </a:ln>
            <a:effectLst/>
          </c:spPr>
          <c:invertIfNegative val="0"/>
          <c:val>
            <c:numRef>
              <c:f>'Log data'!$J$89:$J$98</c:f>
              <c:numCache>
                <c:formatCode>General</c:formatCode>
                <c:ptCount val="10"/>
                <c:pt idx="0">
                  <c:v>186</c:v>
                </c:pt>
                <c:pt idx="1">
                  <c:v>177</c:v>
                </c:pt>
                <c:pt idx="2">
                  <c:v>182</c:v>
                </c:pt>
                <c:pt idx="3">
                  <c:v>126</c:v>
                </c:pt>
                <c:pt idx="4">
                  <c:v>177</c:v>
                </c:pt>
                <c:pt idx="5">
                  <c:v>140</c:v>
                </c:pt>
                <c:pt idx="6">
                  <c:v>157</c:v>
                </c:pt>
                <c:pt idx="7">
                  <c:v>132</c:v>
                </c:pt>
                <c:pt idx="8">
                  <c:v>120</c:v>
                </c:pt>
                <c:pt idx="9">
                  <c:v>151</c:v>
                </c:pt>
              </c:numCache>
            </c:numRef>
          </c:val>
          <c:extLst>
            <c:ext xmlns:c16="http://schemas.microsoft.com/office/drawing/2014/chart" uri="{C3380CC4-5D6E-409C-BE32-E72D297353CC}">
              <c16:uniqueId val="{00000003-EAA0-439F-91CB-6EC7906120DD}"/>
            </c:ext>
          </c:extLst>
        </c:ser>
        <c:dLbls>
          <c:showLegendKey val="0"/>
          <c:showVal val="0"/>
          <c:showCatName val="0"/>
          <c:showSerName val="0"/>
          <c:showPercent val="0"/>
          <c:showBubbleSize val="0"/>
        </c:dLbls>
        <c:gapWidth val="219"/>
        <c:overlap val="-27"/>
        <c:axId val="925398144"/>
        <c:axId val="914659152"/>
      </c:barChart>
      <c:catAx>
        <c:axId val="925398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Participant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59152"/>
        <c:crosses val="autoZero"/>
        <c:auto val="1"/>
        <c:lblAlgn val="ctr"/>
        <c:lblOffset val="100"/>
        <c:noMultiLvlLbl val="0"/>
      </c:catAx>
      <c:valAx>
        <c:axId val="91465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Time in seconds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98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mistakes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data'!$O$2</c:f>
              <c:strCache>
                <c:ptCount val="1"/>
                <c:pt idx="0">
                  <c:v>Map</c:v>
                </c:pt>
              </c:strCache>
            </c:strRef>
          </c:tx>
          <c:spPr>
            <a:solidFill>
              <a:schemeClr val="accent1"/>
            </a:solidFill>
            <a:ln>
              <a:noFill/>
            </a:ln>
            <a:effectLst/>
          </c:spPr>
          <c:invertIfNegative val="0"/>
          <c:val>
            <c:numRef>
              <c:f>'Log data'!$O$3:$O$12</c:f>
              <c:numCache>
                <c:formatCode>General</c:formatCode>
                <c:ptCount val="10"/>
                <c:pt idx="0">
                  <c:v>2</c:v>
                </c:pt>
                <c:pt idx="1">
                  <c:v>1</c:v>
                </c:pt>
                <c:pt idx="2">
                  <c:v>0</c:v>
                </c:pt>
                <c:pt idx="3">
                  <c:v>1</c:v>
                </c:pt>
                <c:pt idx="4">
                  <c:v>1</c:v>
                </c:pt>
                <c:pt idx="5">
                  <c:v>2</c:v>
                </c:pt>
                <c:pt idx="6">
                  <c:v>1</c:v>
                </c:pt>
                <c:pt idx="7">
                  <c:v>1</c:v>
                </c:pt>
                <c:pt idx="8">
                  <c:v>0</c:v>
                </c:pt>
                <c:pt idx="9">
                  <c:v>1</c:v>
                </c:pt>
              </c:numCache>
            </c:numRef>
          </c:val>
          <c:extLst>
            <c:ext xmlns:c16="http://schemas.microsoft.com/office/drawing/2014/chart" uri="{C3380CC4-5D6E-409C-BE32-E72D297353CC}">
              <c16:uniqueId val="{00000000-E464-4671-BD6A-AF9F5A8FC051}"/>
            </c:ext>
          </c:extLst>
        </c:ser>
        <c:ser>
          <c:idx val="1"/>
          <c:order val="1"/>
          <c:tx>
            <c:strRef>
              <c:f>'Log data'!$P$2</c:f>
              <c:strCache>
                <c:ptCount val="1"/>
                <c:pt idx="0">
                  <c:v>Audio</c:v>
                </c:pt>
              </c:strCache>
            </c:strRef>
          </c:tx>
          <c:spPr>
            <a:solidFill>
              <a:schemeClr val="accent2"/>
            </a:solidFill>
            <a:ln>
              <a:noFill/>
            </a:ln>
            <a:effectLst/>
          </c:spPr>
          <c:invertIfNegative val="0"/>
          <c:val>
            <c:numRef>
              <c:f>'Log data'!$P$3:$P$12</c:f>
              <c:numCache>
                <c:formatCode>General</c:formatCode>
                <c:ptCount val="10"/>
                <c:pt idx="0">
                  <c:v>0</c:v>
                </c:pt>
                <c:pt idx="1">
                  <c:v>0</c:v>
                </c:pt>
                <c:pt idx="2">
                  <c:v>0</c:v>
                </c:pt>
                <c:pt idx="3">
                  <c:v>0</c:v>
                </c:pt>
                <c:pt idx="4">
                  <c:v>1</c:v>
                </c:pt>
                <c:pt idx="5">
                  <c:v>0</c:v>
                </c:pt>
                <c:pt idx="6">
                  <c:v>0</c:v>
                </c:pt>
                <c:pt idx="7">
                  <c:v>0</c:v>
                </c:pt>
                <c:pt idx="8">
                  <c:v>0</c:v>
                </c:pt>
                <c:pt idx="9">
                  <c:v>1</c:v>
                </c:pt>
              </c:numCache>
            </c:numRef>
          </c:val>
          <c:extLst>
            <c:ext xmlns:c16="http://schemas.microsoft.com/office/drawing/2014/chart" uri="{C3380CC4-5D6E-409C-BE32-E72D297353CC}">
              <c16:uniqueId val="{00000001-E464-4671-BD6A-AF9F5A8FC051}"/>
            </c:ext>
          </c:extLst>
        </c:ser>
        <c:ser>
          <c:idx val="2"/>
          <c:order val="2"/>
          <c:tx>
            <c:strRef>
              <c:f>'Log data'!$Q$2</c:f>
              <c:strCache>
                <c:ptCount val="1"/>
                <c:pt idx="0">
                  <c:v>Discontinuous</c:v>
                </c:pt>
              </c:strCache>
            </c:strRef>
          </c:tx>
          <c:spPr>
            <a:solidFill>
              <a:schemeClr val="accent3"/>
            </a:solidFill>
            <a:ln>
              <a:noFill/>
            </a:ln>
            <a:effectLst/>
          </c:spPr>
          <c:invertIfNegative val="0"/>
          <c:val>
            <c:numRef>
              <c:f>'Log data'!$Q$3:$Q$12</c:f>
              <c:numCache>
                <c:formatCode>General</c:formatCode>
                <c:ptCount val="10"/>
                <c:pt idx="0">
                  <c:v>2</c:v>
                </c:pt>
                <c:pt idx="1">
                  <c:v>1</c:v>
                </c:pt>
                <c:pt idx="2">
                  <c:v>0</c:v>
                </c:pt>
                <c:pt idx="3">
                  <c:v>1</c:v>
                </c:pt>
                <c:pt idx="4">
                  <c:v>0</c:v>
                </c:pt>
                <c:pt idx="5">
                  <c:v>2</c:v>
                </c:pt>
                <c:pt idx="6">
                  <c:v>0</c:v>
                </c:pt>
                <c:pt idx="7">
                  <c:v>0</c:v>
                </c:pt>
                <c:pt idx="8">
                  <c:v>1</c:v>
                </c:pt>
                <c:pt idx="9">
                  <c:v>1</c:v>
                </c:pt>
              </c:numCache>
            </c:numRef>
          </c:val>
          <c:extLst>
            <c:ext xmlns:c16="http://schemas.microsoft.com/office/drawing/2014/chart" uri="{C3380CC4-5D6E-409C-BE32-E72D297353CC}">
              <c16:uniqueId val="{00000002-E464-4671-BD6A-AF9F5A8FC051}"/>
            </c:ext>
          </c:extLst>
        </c:ser>
        <c:ser>
          <c:idx val="3"/>
          <c:order val="3"/>
          <c:tx>
            <c:strRef>
              <c:f>'Log data'!$R$2</c:f>
              <c:strCache>
                <c:ptCount val="1"/>
                <c:pt idx="0">
                  <c:v>Continuous</c:v>
                </c:pt>
              </c:strCache>
            </c:strRef>
          </c:tx>
          <c:spPr>
            <a:solidFill>
              <a:schemeClr val="accent4"/>
            </a:solidFill>
            <a:ln>
              <a:noFill/>
            </a:ln>
            <a:effectLst/>
          </c:spPr>
          <c:invertIfNegative val="0"/>
          <c:val>
            <c:numRef>
              <c:f>'Log data'!$R$3:$R$12</c:f>
              <c:numCache>
                <c:formatCode>General</c:formatCode>
                <c:ptCount val="10"/>
                <c:pt idx="0">
                  <c:v>1</c:v>
                </c:pt>
                <c:pt idx="1">
                  <c:v>1</c:v>
                </c:pt>
                <c:pt idx="2">
                  <c:v>1</c:v>
                </c:pt>
                <c:pt idx="3">
                  <c:v>1</c:v>
                </c:pt>
                <c:pt idx="4">
                  <c:v>1</c:v>
                </c:pt>
                <c:pt idx="5">
                  <c:v>1</c:v>
                </c:pt>
                <c:pt idx="6">
                  <c:v>0</c:v>
                </c:pt>
                <c:pt idx="7">
                  <c:v>0</c:v>
                </c:pt>
                <c:pt idx="8">
                  <c:v>1</c:v>
                </c:pt>
                <c:pt idx="9">
                  <c:v>0</c:v>
                </c:pt>
              </c:numCache>
            </c:numRef>
          </c:val>
          <c:extLst>
            <c:ext xmlns:c16="http://schemas.microsoft.com/office/drawing/2014/chart" uri="{C3380CC4-5D6E-409C-BE32-E72D297353CC}">
              <c16:uniqueId val="{00000003-E464-4671-BD6A-AF9F5A8FC051}"/>
            </c:ext>
          </c:extLst>
        </c:ser>
        <c:dLbls>
          <c:showLegendKey val="0"/>
          <c:showVal val="0"/>
          <c:showCatName val="0"/>
          <c:showSerName val="0"/>
          <c:showPercent val="0"/>
          <c:showBubbleSize val="0"/>
        </c:dLbls>
        <c:gapWidth val="219"/>
        <c:overlap val="-27"/>
        <c:axId val="1188647360"/>
        <c:axId val="2080718768"/>
      </c:barChart>
      <c:catAx>
        <c:axId val="11886473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Participant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18768"/>
        <c:crosses val="autoZero"/>
        <c:auto val="1"/>
        <c:lblAlgn val="ctr"/>
        <c:lblOffset val="100"/>
        <c:noMultiLvlLbl val="0"/>
      </c:catAx>
      <c:valAx>
        <c:axId val="208071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64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supervisor interventions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data'!$U$2</c:f>
              <c:strCache>
                <c:ptCount val="1"/>
                <c:pt idx="0">
                  <c:v>Map</c:v>
                </c:pt>
              </c:strCache>
            </c:strRef>
          </c:tx>
          <c:spPr>
            <a:solidFill>
              <a:schemeClr val="accent1"/>
            </a:solidFill>
            <a:ln>
              <a:noFill/>
            </a:ln>
            <a:effectLst/>
          </c:spPr>
          <c:invertIfNegative val="0"/>
          <c:val>
            <c:numRef>
              <c:f>'Log data'!$U$3:$U$12</c:f>
              <c:numCache>
                <c:formatCode>General</c:formatCode>
                <c:ptCount val="10"/>
                <c:pt idx="0">
                  <c:v>0</c:v>
                </c:pt>
                <c:pt idx="1">
                  <c:v>1</c:v>
                </c:pt>
                <c:pt idx="2">
                  <c:v>0</c:v>
                </c:pt>
                <c:pt idx="3">
                  <c:v>1</c:v>
                </c:pt>
                <c:pt idx="4">
                  <c:v>0</c:v>
                </c:pt>
                <c:pt idx="5">
                  <c:v>0</c:v>
                </c:pt>
                <c:pt idx="6">
                  <c:v>1</c:v>
                </c:pt>
                <c:pt idx="7">
                  <c:v>1</c:v>
                </c:pt>
                <c:pt idx="8">
                  <c:v>0</c:v>
                </c:pt>
                <c:pt idx="9">
                  <c:v>0</c:v>
                </c:pt>
              </c:numCache>
            </c:numRef>
          </c:val>
          <c:extLst>
            <c:ext xmlns:c16="http://schemas.microsoft.com/office/drawing/2014/chart" uri="{C3380CC4-5D6E-409C-BE32-E72D297353CC}">
              <c16:uniqueId val="{00000000-096B-40A3-9457-31040ED4DE23}"/>
            </c:ext>
          </c:extLst>
        </c:ser>
        <c:ser>
          <c:idx val="1"/>
          <c:order val="1"/>
          <c:tx>
            <c:strRef>
              <c:f>'Log data'!$V$2</c:f>
              <c:strCache>
                <c:ptCount val="1"/>
                <c:pt idx="0">
                  <c:v>Audio</c:v>
                </c:pt>
              </c:strCache>
            </c:strRef>
          </c:tx>
          <c:spPr>
            <a:solidFill>
              <a:schemeClr val="accent2"/>
            </a:solidFill>
            <a:ln>
              <a:noFill/>
            </a:ln>
            <a:effectLst/>
          </c:spPr>
          <c:invertIfNegative val="0"/>
          <c:val>
            <c:numRef>
              <c:f>'Log data'!$V$3:$V$12</c:f>
              <c:numCache>
                <c:formatCode>General</c:formatCode>
                <c:ptCount val="10"/>
                <c:pt idx="0">
                  <c:v>0</c:v>
                </c:pt>
                <c:pt idx="1">
                  <c:v>0</c:v>
                </c:pt>
                <c:pt idx="2">
                  <c:v>0</c:v>
                </c:pt>
                <c:pt idx="3">
                  <c:v>0</c:v>
                </c:pt>
                <c:pt idx="4">
                  <c:v>1</c:v>
                </c:pt>
                <c:pt idx="5">
                  <c:v>0</c:v>
                </c:pt>
                <c:pt idx="6">
                  <c:v>0</c:v>
                </c:pt>
                <c:pt idx="7">
                  <c:v>0</c:v>
                </c:pt>
                <c:pt idx="8">
                  <c:v>0</c:v>
                </c:pt>
                <c:pt idx="9">
                  <c:v>0</c:v>
                </c:pt>
              </c:numCache>
            </c:numRef>
          </c:val>
          <c:extLst>
            <c:ext xmlns:c16="http://schemas.microsoft.com/office/drawing/2014/chart" uri="{C3380CC4-5D6E-409C-BE32-E72D297353CC}">
              <c16:uniqueId val="{00000001-096B-40A3-9457-31040ED4DE23}"/>
            </c:ext>
          </c:extLst>
        </c:ser>
        <c:ser>
          <c:idx val="2"/>
          <c:order val="2"/>
          <c:tx>
            <c:strRef>
              <c:f>'Log data'!$W$2</c:f>
              <c:strCache>
                <c:ptCount val="1"/>
                <c:pt idx="0">
                  <c:v>Discontinuous</c:v>
                </c:pt>
              </c:strCache>
            </c:strRef>
          </c:tx>
          <c:spPr>
            <a:solidFill>
              <a:schemeClr val="accent3"/>
            </a:solidFill>
            <a:ln>
              <a:noFill/>
            </a:ln>
            <a:effectLst/>
          </c:spPr>
          <c:invertIfNegative val="0"/>
          <c:val>
            <c:numRef>
              <c:f>'Log data'!$W$3:$W$12</c:f>
              <c:numCache>
                <c:formatCode>General</c:formatCode>
                <c:ptCount val="10"/>
                <c:pt idx="0">
                  <c:v>1</c:v>
                </c:pt>
                <c:pt idx="1">
                  <c:v>0</c:v>
                </c:pt>
                <c:pt idx="2">
                  <c:v>0</c:v>
                </c:pt>
                <c:pt idx="3">
                  <c:v>0</c:v>
                </c:pt>
                <c:pt idx="4">
                  <c:v>0</c:v>
                </c:pt>
                <c:pt idx="5">
                  <c:v>2</c:v>
                </c:pt>
                <c:pt idx="6">
                  <c:v>0</c:v>
                </c:pt>
                <c:pt idx="7">
                  <c:v>0</c:v>
                </c:pt>
                <c:pt idx="8">
                  <c:v>1</c:v>
                </c:pt>
                <c:pt idx="9">
                  <c:v>1</c:v>
                </c:pt>
              </c:numCache>
            </c:numRef>
          </c:val>
          <c:extLst>
            <c:ext xmlns:c16="http://schemas.microsoft.com/office/drawing/2014/chart" uri="{C3380CC4-5D6E-409C-BE32-E72D297353CC}">
              <c16:uniqueId val="{00000002-096B-40A3-9457-31040ED4DE23}"/>
            </c:ext>
          </c:extLst>
        </c:ser>
        <c:ser>
          <c:idx val="3"/>
          <c:order val="3"/>
          <c:tx>
            <c:strRef>
              <c:f>'Log data'!$X$2</c:f>
              <c:strCache>
                <c:ptCount val="1"/>
                <c:pt idx="0">
                  <c:v>Continuous</c:v>
                </c:pt>
              </c:strCache>
            </c:strRef>
          </c:tx>
          <c:spPr>
            <a:solidFill>
              <a:schemeClr val="accent4"/>
            </a:solidFill>
            <a:ln>
              <a:noFill/>
            </a:ln>
            <a:effectLst/>
          </c:spPr>
          <c:invertIfNegative val="0"/>
          <c:val>
            <c:numRef>
              <c:f>'Log data'!$X$3:$X$12</c:f>
              <c:numCache>
                <c:formatCode>General</c:formatCode>
                <c:ptCount val="10"/>
                <c:pt idx="0">
                  <c:v>1</c:v>
                </c:pt>
                <c:pt idx="1">
                  <c:v>2</c:v>
                </c:pt>
                <c:pt idx="2">
                  <c:v>1</c:v>
                </c:pt>
                <c:pt idx="3">
                  <c:v>0</c:v>
                </c:pt>
                <c:pt idx="4">
                  <c:v>0</c:v>
                </c:pt>
                <c:pt idx="5">
                  <c:v>1</c:v>
                </c:pt>
                <c:pt idx="6">
                  <c:v>0</c:v>
                </c:pt>
                <c:pt idx="7">
                  <c:v>0</c:v>
                </c:pt>
                <c:pt idx="8">
                  <c:v>0</c:v>
                </c:pt>
                <c:pt idx="9">
                  <c:v>0</c:v>
                </c:pt>
              </c:numCache>
            </c:numRef>
          </c:val>
          <c:extLst>
            <c:ext xmlns:c16="http://schemas.microsoft.com/office/drawing/2014/chart" uri="{C3380CC4-5D6E-409C-BE32-E72D297353CC}">
              <c16:uniqueId val="{00000003-096B-40A3-9457-31040ED4DE23}"/>
            </c:ext>
          </c:extLst>
        </c:ser>
        <c:dLbls>
          <c:showLegendKey val="0"/>
          <c:showVal val="0"/>
          <c:showCatName val="0"/>
          <c:showSerName val="0"/>
          <c:showPercent val="0"/>
          <c:showBubbleSize val="0"/>
        </c:dLbls>
        <c:gapWidth val="219"/>
        <c:overlap val="-27"/>
        <c:axId val="1127226400"/>
        <c:axId val="925426992"/>
      </c:barChart>
      <c:catAx>
        <c:axId val="1127226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Participant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26992"/>
        <c:crosses val="autoZero"/>
        <c:auto val="1"/>
        <c:lblAlgn val="ctr"/>
        <c:lblOffset val="100"/>
        <c:noMultiLvlLbl val="0"/>
      </c:catAx>
      <c:valAx>
        <c:axId val="92542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6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commands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data'!$J$2</c:f>
              <c:strCache>
                <c:ptCount val="1"/>
                <c:pt idx="0">
                  <c:v>Audio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val>
            <c:numRef>
              <c:f>'Log data'!$J$3:$J$12</c:f>
              <c:numCache>
                <c:formatCode>General</c:formatCode>
                <c:ptCount val="10"/>
                <c:pt idx="0">
                  <c:v>20</c:v>
                </c:pt>
                <c:pt idx="1">
                  <c:v>14</c:v>
                </c:pt>
                <c:pt idx="2">
                  <c:v>15</c:v>
                </c:pt>
                <c:pt idx="3">
                  <c:v>14</c:v>
                </c:pt>
                <c:pt idx="4">
                  <c:v>16</c:v>
                </c:pt>
                <c:pt idx="5">
                  <c:v>14</c:v>
                </c:pt>
                <c:pt idx="6">
                  <c:v>12</c:v>
                </c:pt>
                <c:pt idx="7">
                  <c:v>13</c:v>
                </c:pt>
                <c:pt idx="8">
                  <c:v>15</c:v>
                </c:pt>
                <c:pt idx="9">
                  <c:v>15</c:v>
                </c:pt>
              </c:numCache>
            </c:numRef>
          </c:val>
          <c:extLst>
            <c:ext xmlns:c16="http://schemas.microsoft.com/office/drawing/2014/chart" uri="{C3380CC4-5D6E-409C-BE32-E72D297353CC}">
              <c16:uniqueId val="{00000000-89F4-4B17-8BD1-93AF55C84A30}"/>
            </c:ext>
          </c:extLst>
        </c:ser>
        <c:ser>
          <c:idx val="1"/>
          <c:order val="1"/>
          <c:tx>
            <c:strRef>
              <c:f>'Log data'!$K$2</c:f>
              <c:strCache>
                <c:ptCount val="1"/>
                <c:pt idx="0">
                  <c:v>Discontinuous</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val>
            <c:numRef>
              <c:f>'Log data'!$K$3:$K$12</c:f>
              <c:numCache>
                <c:formatCode>General</c:formatCode>
                <c:ptCount val="10"/>
                <c:pt idx="0">
                  <c:v>23</c:v>
                </c:pt>
                <c:pt idx="1">
                  <c:v>34</c:v>
                </c:pt>
                <c:pt idx="2">
                  <c:v>21</c:v>
                </c:pt>
                <c:pt idx="3">
                  <c:v>31</c:v>
                </c:pt>
                <c:pt idx="4">
                  <c:v>23</c:v>
                </c:pt>
                <c:pt idx="5">
                  <c:v>31</c:v>
                </c:pt>
                <c:pt idx="6">
                  <c:v>24</c:v>
                </c:pt>
                <c:pt idx="7">
                  <c:v>21</c:v>
                </c:pt>
                <c:pt idx="8">
                  <c:v>26</c:v>
                </c:pt>
                <c:pt idx="9">
                  <c:v>26</c:v>
                </c:pt>
              </c:numCache>
            </c:numRef>
          </c:val>
          <c:extLst>
            <c:ext xmlns:c16="http://schemas.microsoft.com/office/drawing/2014/chart" uri="{C3380CC4-5D6E-409C-BE32-E72D297353CC}">
              <c16:uniqueId val="{00000001-89F4-4B17-8BD1-93AF55C84A30}"/>
            </c:ext>
          </c:extLst>
        </c:ser>
        <c:ser>
          <c:idx val="2"/>
          <c:order val="2"/>
          <c:tx>
            <c:strRef>
              <c:f>'Log data'!$L$2</c:f>
              <c:strCache>
                <c:ptCount val="1"/>
                <c:pt idx="0">
                  <c:v>Continuous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val>
            <c:numRef>
              <c:f>'Log data'!$L$3:$L$12</c:f>
              <c:numCache>
                <c:formatCode>General</c:formatCode>
                <c:ptCount val="10"/>
                <c:pt idx="0">
                  <c:v>33</c:v>
                </c:pt>
                <c:pt idx="1">
                  <c:v>26</c:v>
                </c:pt>
                <c:pt idx="2">
                  <c:v>30</c:v>
                </c:pt>
                <c:pt idx="3">
                  <c:v>25</c:v>
                </c:pt>
                <c:pt idx="4">
                  <c:v>28</c:v>
                </c:pt>
                <c:pt idx="5">
                  <c:v>22</c:v>
                </c:pt>
                <c:pt idx="6">
                  <c:v>26</c:v>
                </c:pt>
                <c:pt idx="7">
                  <c:v>24</c:v>
                </c:pt>
                <c:pt idx="8">
                  <c:v>26</c:v>
                </c:pt>
                <c:pt idx="9">
                  <c:v>26</c:v>
                </c:pt>
              </c:numCache>
            </c:numRef>
          </c:val>
          <c:extLst>
            <c:ext xmlns:c16="http://schemas.microsoft.com/office/drawing/2014/chart" uri="{C3380CC4-5D6E-409C-BE32-E72D297353CC}">
              <c16:uniqueId val="{00000002-89F4-4B17-8BD1-93AF55C84A30}"/>
            </c:ext>
          </c:extLst>
        </c:ser>
        <c:dLbls>
          <c:dLblPos val="ctr"/>
          <c:showLegendKey val="0"/>
          <c:showVal val="1"/>
          <c:showCatName val="0"/>
          <c:showSerName val="0"/>
          <c:showPercent val="0"/>
          <c:showBubbleSize val="0"/>
        </c:dLbls>
        <c:gapWidth val="219"/>
        <c:overlap val="-27"/>
        <c:axId val="427782112"/>
        <c:axId val="1113706160"/>
      </c:barChart>
      <c:catAx>
        <c:axId val="4277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706160"/>
        <c:crosses val="autoZero"/>
        <c:auto val="1"/>
        <c:lblAlgn val="ctr"/>
        <c:lblOffset val="100"/>
        <c:noMultiLvlLbl val="0"/>
      </c:catAx>
      <c:valAx>
        <c:axId val="11137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82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time for each route by modality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data'!$B$43</c:f>
              <c:strCache>
                <c:ptCount val="1"/>
                <c:pt idx="0">
                  <c:v>Map</c:v>
                </c:pt>
              </c:strCache>
            </c:strRef>
          </c:tx>
          <c:spPr>
            <a:solidFill>
              <a:schemeClr val="accent1"/>
            </a:solidFill>
            <a:ln>
              <a:noFill/>
            </a:ln>
            <a:effectLst/>
          </c:spPr>
          <c:invertIfNegative val="0"/>
          <c:val>
            <c:numRef>
              <c:f>'Log data'!$B$44:$B$47</c:f>
              <c:numCache>
                <c:formatCode>h:mm:ss</c:formatCode>
                <c:ptCount val="4"/>
                <c:pt idx="0">
                  <c:v>1.6705246913580245E-3</c:v>
                </c:pt>
                <c:pt idx="1">
                  <c:v>1.5933641975308642E-3</c:v>
                </c:pt>
                <c:pt idx="2">
                  <c:v>1.4409722222222222E-3</c:v>
                </c:pt>
                <c:pt idx="3">
                  <c:v>1.7534722222222222E-3</c:v>
                </c:pt>
              </c:numCache>
            </c:numRef>
          </c:val>
          <c:extLst>
            <c:ext xmlns:c16="http://schemas.microsoft.com/office/drawing/2014/chart" uri="{C3380CC4-5D6E-409C-BE32-E72D297353CC}">
              <c16:uniqueId val="{00000000-9456-451B-8961-568F88DAA9CC}"/>
            </c:ext>
          </c:extLst>
        </c:ser>
        <c:ser>
          <c:idx val="1"/>
          <c:order val="1"/>
          <c:tx>
            <c:strRef>
              <c:f>'Log data'!$C$43</c:f>
              <c:strCache>
                <c:ptCount val="1"/>
                <c:pt idx="0">
                  <c:v>Audio</c:v>
                </c:pt>
              </c:strCache>
            </c:strRef>
          </c:tx>
          <c:spPr>
            <a:solidFill>
              <a:schemeClr val="accent2"/>
            </a:solidFill>
            <a:ln>
              <a:noFill/>
            </a:ln>
            <a:effectLst/>
          </c:spPr>
          <c:invertIfNegative val="0"/>
          <c:val>
            <c:numRef>
              <c:f>'Log data'!$C$44:$C$47</c:f>
              <c:numCache>
                <c:formatCode>h:mm:ss</c:formatCode>
                <c:ptCount val="4"/>
                <c:pt idx="0">
                  <c:v>1.4853395061728393E-3</c:v>
                </c:pt>
                <c:pt idx="1">
                  <c:v>1.3734567901234568E-3</c:v>
                </c:pt>
                <c:pt idx="2">
                  <c:v>1.5682870370370369E-3</c:v>
                </c:pt>
                <c:pt idx="3">
                  <c:v>1.4351851851851852E-3</c:v>
                </c:pt>
              </c:numCache>
            </c:numRef>
          </c:val>
          <c:extLst>
            <c:ext xmlns:c16="http://schemas.microsoft.com/office/drawing/2014/chart" uri="{C3380CC4-5D6E-409C-BE32-E72D297353CC}">
              <c16:uniqueId val="{00000001-9456-451B-8961-568F88DAA9CC}"/>
            </c:ext>
          </c:extLst>
        </c:ser>
        <c:ser>
          <c:idx val="2"/>
          <c:order val="2"/>
          <c:tx>
            <c:strRef>
              <c:f>'Log data'!$D$43</c:f>
              <c:strCache>
                <c:ptCount val="1"/>
                <c:pt idx="0">
                  <c:v>Discontinuous</c:v>
                </c:pt>
              </c:strCache>
            </c:strRef>
          </c:tx>
          <c:spPr>
            <a:solidFill>
              <a:schemeClr val="accent3"/>
            </a:solidFill>
            <a:ln>
              <a:noFill/>
            </a:ln>
            <a:effectLst/>
          </c:spPr>
          <c:invertIfNegative val="0"/>
          <c:val>
            <c:numRef>
              <c:f>'Log data'!$D$44:$D$47</c:f>
              <c:numCache>
                <c:formatCode>h:mm:ss</c:formatCode>
                <c:ptCount val="4"/>
                <c:pt idx="0">
                  <c:v>1.9560185185185184E-3</c:v>
                </c:pt>
                <c:pt idx="1">
                  <c:v>1.3252314814814815E-3</c:v>
                </c:pt>
                <c:pt idx="2">
                  <c:v>1.976273148148148E-3</c:v>
                </c:pt>
                <c:pt idx="3">
                  <c:v>1.4930555555555556E-3</c:v>
                </c:pt>
              </c:numCache>
            </c:numRef>
          </c:val>
          <c:extLst>
            <c:ext xmlns:c16="http://schemas.microsoft.com/office/drawing/2014/chart" uri="{C3380CC4-5D6E-409C-BE32-E72D297353CC}">
              <c16:uniqueId val="{00000002-9456-451B-8961-568F88DAA9CC}"/>
            </c:ext>
          </c:extLst>
        </c:ser>
        <c:ser>
          <c:idx val="3"/>
          <c:order val="3"/>
          <c:tx>
            <c:strRef>
              <c:f>'Log data'!$E$43</c:f>
              <c:strCache>
                <c:ptCount val="1"/>
                <c:pt idx="0">
                  <c:v>Continuous</c:v>
                </c:pt>
              </c:strCache>
            </c:strRef>
          </c:tx>
          <c:spPr>
            <a:solidFill>
              <a:schemeClr val="accent4"/>
            </a:solidFill>
            <a:ln>
              <a:noFill/>
            </a:ln>
            <a:effectLst/>
          </c:spPr>
          <c:invertIfNegative val="0"/>
          <c:val>
            <c:numRef>
              <c:f>'Log data'!$E$44:$E$47</c:f>
              <c:numCache>
                <c:formatCode>h:mm:ss</c:formatCode>
                <c:ptCount val="4"/>
                <c:pt idx="0">
                  <c:v>1.7187500000000002E-3</c:v>
                </c:pt>
                <c:pt idx="1">
                  <c:v>1.4930555555555556E-3</c:v>
                </c:pt>
                <c:pt idx="2">
                  <c:v>1.9618055555555556E-3</c:v>
                </c:pt>
                <c:pt idx="3">
                  <c:v>1.8923611111111112E-3</c:v>
                </c:pt>
              </c:numCache>
            </c:numRef>
          </c:val>
          <c:extLst>
            <c:ext xmlns:c16="http://schemas.microsoft.com/office/drawing/2014/chart" uri="{C3380CC4-5D6E-409C-BE32-E72D297353CC}">
              <c16:uniqueId val="{00000003-9456-451B-8961-568F88DAA9CC}"/>
            </c:ext>
          </c:extLst>
        </c:ser>
        <c:dLbls>
          <c:showLegendKey val="0"/>
          <c:showVal val="0"/>
          <c:showCatName val="0"/>
          <c:showSerName val="0"/>
          <c:showPercent val="0"/>
          <c:showBubbleSize val="0"/>
        </c:dLbls>
        <c:gapWidth val="219"/>
        <c:overlap val="-27"/>
        <c:axId val="1123829088"/>
        <c:axId val="1117016176"/>
      </c:barChart>
      <c:catAx>
        <c:axId val="11238290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16176"/>
        <c:crosses val="autoZero"/>
        <c:auto val="1"/>
        <c:lblAlgn val="ctr"/>
        <c:lblOffset val="100"/>
        <c:noMultiLvlLbl val="0"/>
      </c:catAx>
      <c:valAx>
        <c:axId val="1117016176"/>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29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time for each modality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Route 1</c:v>
          </c:tx>
          <c:spPr>
            <a:solidFill>
              <a:schemeClr val="accent1"/>
            </a:solidFill>
            <a:ln>
              <a:noFill/>
            </a:ln>
            <a:effectLst/>
          </c:spPr>
          <c:invertIfNegative val="0"/>
          <c:cat>
            <c:strRef>
              <c:f>'Log data'!$B$43:$E$43</c:f>
              <c:strCache>
                <c:ptCount val="4"/>
                <c:pt idx="0">
                  <c:v>Map</c:v>
                </c:pt>
                <c:pt idx="1">
                  <c:v>Audio</c:v>
                </c:pt>
                <c:pt idx="2">
                  <c:v>Discontinuous</c:v>
                </c:pt>
                <c:pt idx="3">
                  <c:v>Continuous</c:v>
                </c:pt>
              </c:strCache>
            </c:strRef>
          </c:cat>
          <c:val>
            <c:numRef>
              <c:f>'Log data'!$B$44:$E$44</c:f>
              <c:numCache>
                <c:formatCode>h:mm:ss</c:formatCode>
                <c:ptCount val="4"/>
                <c:pt idx="0">
                  <c:v>1.6705246913580245E-3</c:v>
                </c:pt>
                <c:pt idx="1">
                  <c:v>1.4853395061728393E-3</c:v>
                </c:pt>
                <c:pt idx="2">
                  <c:v>1.9560185185185184E-3</c:v>
                </c:pt>
                <c:pt idx="3">
                  <c:v>1.7187500000000002E-3</c:v>
                </c:pt>
              </c:numCache>
            </c:numRef>
          </c:val>
          <c:extLst>
            <c:ext xmlns:c16="http://schemas.microsoft.com/office/drawing/2014/chart" uri="{C3380CC4-5D6E-409C-BE32-E72D297353CC}">
              <c16:uniqueId val="{00000000-4FA5-4DE4-81CC-5641B41C2202}"/>
            </c:ext>
          </c:extLst>
        </c:ser>
        <c:ser>
          <c:idx val="1"/>
          <c:order val="1"/>
          <c:tx>
            <c:v>Route 2</c:v>
          </c:tx>
          <c:spPr>
            <a:solidFill>
              <a:schemeClr val="accent3"/>
            </a:solidFill>
            <a:ln>
              <a:noFill/>
            </a:ln>
            <a:effectLst/>
          </c:spPr>
          <c:invertIfNegative val="0"/>
          <c:cat>
            <c:strRef>
              <c:f>'Log data'!$B$43:$E$43</c:f>
              <c:strCache>
                <c:ptCount val="4"/>
                <c:pt idx="0">
                  <c:v>Map</c:v>
                </c:pt>
                <c:pt idx="1">
                  <c:v>Audio</c:v>
                </c:pt>
                <c:pt idx="2">
                  <c:v>Discontinuous</c:v>
                </c:pt>
                <c:pt idx="3">
                  <c:v>Continuous</c:v>
                </c:pt>
              </c:strCache>
            </c:strRef>
          </c:cat>
          <c:val>
            <c:numRef>
              <c:f>'Log data'!$B$45:$E$45</c:f>
              <c:numCache>
                <c:formatCode>h:mm:ss</c:formatCode>
                <c:ptCount val="4"/>
                <c:pt idx="0">
                  <c:v>1.5933641975308642E-3</c:v>
                </c:pt>
                <c:pt idx="1">
                  <c:v>1.3734567901234568E-3</c:v>
                </c:pt>
                <c:pt idx="2">
                  <c:v>1.3252314814814815E-3</c:v>
                </c:pt>
                <c:pt idx="3">
                  <c:v>1.4930555555555556E-3</c:v>
                </c:pt>
              </c:numCache>
            </c:numRef>
          </c:val>
          <c:extLst>
            <c:ext xmlns:c16="http://schemas.microsoft.com/office/drawing/2014/chart" uri="{C3380CC4-5D6E-409C-BE32-E72D297353CC}">
              <c16:uniqueId val="{00000001-4FA5-4DE4-81CC-5641B41C2202}"/>
            </c:ext>
          </c:extLst>
        </c:ser>
        <c:ser>
          <c:idx val="2"/>
          <c:order val="2"/>
          <c:tx>
            <c:v>Route 3</c:v>
          </c:tx>
          <c:spPr>
            <a:solidFill>
              <a:schemeClr val="accent5"/>
            </a:solidFill>
            <a:ln>
              <a:noFill/>
            </a:ln>
            <a:effectLst/>
          </c:spPr>
          <c:invertIfNegative val="0"/>
          <c:cat>
            <c:strRef>
              <c:f>'Log data'!$B$43:$E$43</c:f>
              <c:strCache>
                <c:ptCount val="4"/>
                <c:pt idx="0">
                  <c:v>Map</c:v>
                </c:pt>
                <c:pt idx="1">
                  <c:v>Audio</c:v>
                </c:pt>
                <c:pt idx="2">
                  <c:v>Discontinuous</c:v>
                </c:pt>
                <c:pt idx="3">
                  <c:v>Continuous</c:v>
                </c:pt>
              </c:strCache>
            </c:strRef>
          </c:cat>
          <c:val>
            <c:numRef>
              <c:f>'Log data'!$B$46:$E$46</c:f>
              <c:numCache>
                <c:formatCode>h:mm:ss</c:formatCode>
                <c:ptCount val="4"/>
                <c:pt idx="0">
                  <c:v>1.4409722222222222E-3</c:v>
                </c:pt>
                <c:pt idx="1">
                  <c:v>1.5682870370370369E-3</c:v>
                </c:pt>
                <c:pt idx="2">
                  <c:v>1.976273148148148E-3</c:v>
                </c:pt>
                <c:pt idx="3">
                  <c:v>1.9618055555555556E-3</c:v>
                </c:pt>
              </c:numCache>
            </c:numRef>
          </c:val>
          <c:extLst>
            <c:ext xmlns:c16="http://schemas.microsoft.com/office/drawing/2014/chart" uri="{C3380CC4-5D6E-409C-BE32-E72D297353CC}">
              <c16:uniqueId val="{00000002-4FA5-4DE4-81CC-5641B41C2202}"/>
            </c:ext>
          </c:extLst>
        </c:ser>
        <c:ser>
          <c:idx val="3"/>
          <c:order val="3"/>
          <c:tx>
            <c:v>Route 4</c:v>
          </c:tx>
          <c:spPr>
            <a:solidFill>
              <a:schemeClr val="accent1">
                <a:lumMod val="60000"/>
              </a:schemeClr>
            </a:solidFill>
            <a:ln>
              <a:noFill/>
            </a:ln>
            <a:effectLst/>
          </c:spPr>
          <c:invertIfNegative val="0"/>
          <c:cat>
            <c:strRef>
              <c:f>'Log data'!$B$43:$E$43</c:f>
              <c:strCache>
                <c:ptCount val="4"/>
                <c:pt idx="0">
                  <c:v>Map</c:v>
                </c:pt>
                <c:pt idx="1">
                  <c:v>Audio</c:v>
                </c:pt>
                <c:pt idx="2">
                  <c:v>Discontinuous</c:v>
                </c:pt>
                <c:pt idx="3">
                  <c:v>Continuous</c:v>
                </c:pt>
              </c:strCache>
            </c:strRef>
          </c:cat>
          <c:val>
            <c:numRef>
              <c:f>'Log data'!$B$47:$E$47</c:f>
              <c:numCache>
                <c:formatCode>h:mm:ss</c:formatCode>
                <c:ptCount val="4"/>
                <c:pt idx="0">
                  <c:v>1.7534722222222222E-3</c:v>
                </c:pt>
                <c:pt idx="1">
                  <c:v>1.4351851851851852E-3</c:v>
                </c:pt>
                <c:pt idx="2">
                  <c:v>1.4930555555555556E-3</c:v>
                </c:pt>
                <c:pt idx="3">
                  <c:v>1.8923611111111112E-3</c:v>
                </c:pt>
              </c:numCache>
            </c:numRef>
          </c:val>
          <c:extLst>
            <c:ext xmlns:c16="http://schemas.microsoft.com/office/drawing/2014/chart" uri="{C3380CC4-5D6E-409C-BE32-E72D297353CC}">
              <c16:uniqueId val="{00000003-4FA5-4DE4-81CC-5641B41C2202}"/>
            </c:ext>
          </c:extLst>
        </c:ser>
        <c:dLbls>
          <c:showLegendKey val="0"/>
          <c:showVal val="0"/>
          <c:showCatName val="0"/>
          <c:showSerName val="0"/>
          <c:showPercent val="0"/>
          <c:showBubbleSize val="0"/>
        </c:dLbls>
        <c:gapWidth val="219"/>
        <c:overlap val="-27"/>
        <c:axId val="1199541488"/>
        <c:axId val="914656752"/>
      </c:barChart>
      <c:catAx>
        <c:axId val="119954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656752"/>
        <c:crosses val="autoZero"/>
        <c:auto val="1"/>
        <c:lblAlgn val="ctr"/>
        <c:lblOffset val="100"/>
        <c:noMultiLvlLbl val="0"/>
      </c:catAx>
      <c:valAx>
        <c:axId val="914656752"/>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4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mistakes</a:t>
            </a:r>
            <a:r>
              <a:rPr lang="en-IN" baseline="0"/>
              <a:t> per participant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4A6-42FB-A146-DE1ACBEF06E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64A6-42FB-A146-DE1ACBEF06E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64A6-42FB-A146-DE1ACBEF06E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64A6-42FB-A146-DE1ACBEF06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'Log data'!$O$2:$R$2</c:f>
              <c:strCache>
                <c:ptCount val="4"/>
                <c:pt idx="0">
                  <c:v>Map</c:v>
                </c:pt>
                <c:pt idx="1">
                  <c:v>Audio</c:v>
                </c:pt>
                <c:pt idx="2">
                  <c:v>Discontinuous</c:v>
                </c:pt>
                <c:pt idx="3">
                  <c:v>Continuous</c:v>
                </c:pt>
              </c:strCache>
            </c:strRef>
          </c:cat>
          <c:val>
            <c:numRef>
              <c:f>'Log data'!$O$15:$R$15</c:f>
              <c:numCache>
                <c:formatCode>0.000</c:formatCode>
                <c:ptCount val="4"/>
                <c:pt idx="0">
                  <c:v>0.91666666666666663</c:v>
                </c:pt>
                <c:pt idx="1">
                  <c:v>0.25</c:v>
                </c:pt>
                <c:pt idx="2">
                  <c:v>0.75</c:v>
                </c:pt>
                <c:pt idx="3">
                  <c:v>0.66666666666666663</c:v>
                </c:pt>
              </c:numCache>
            </c:numRef>
          </c:val>
          <c:extLst>
            <c:ext xmlns:c16="http://schemas.microsoft.com/office/drawing/2014/chart" uri="{C3380CC4-5D6E-409C-BE32-E72D297353CC}">
              <c16:uniqueId val="{00000000-2D86-4E3B-8639-0070ECE925D7}"/>
            </c:ext>
          </c:extLst>
        </c:ser>
        <c:dLbls>
          <c:dLblPos val="inBase"/>
          <c:showLegendKey val="0"/>
          <c:showVal val="1"/>
          <c:showCatName val="0"/>
          <c:showSerName val="0"/>
          <c:showPercent val="0"/>
          <c:showBubbleSize val="0"/>
        </c:dLbls>
        <c:gapWidth val="100"/>
        <c:axId val="1749935391"/>
        <c:axId val="1470752271"/>
      </c:barChart>
      <c:catAx>
        <c:axId val="1749935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52271"/>
        <c:crosses val="autoZero"/>
        <c:auto val="1"/>
        <c:lblAlgn val="ctr"/>
        <c:lblOffset val="100"/>
        <c:noMultiLvlLbl val="0"/>
      </c:catAx>
      <c:valAx>
        <c:axId val="147075227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35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interventions</a:t>
            </a:r>
            <a:r>
              <a:rPr lang="en-IN" baseline="0"/>
              <a:t> per participant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2E9-46AE-B6D3-DAFB1422895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2E9-46AE-B6D3-DAFB1422895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2E9-46AE-B6D3-DAFB1422895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2E9-46AE-B6D3-DAFB142289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'Log data'!$U$2:$X$2</c:f>
              <c:strCache>
                <c:ptCount val="4"/>
                <c:pt idx="0">
                  <c:v>Map</c:v>
                </c:pt>
                <c:pt idx="1">
                  <c:v>Audio</c:v>
                </c:pt>
                <c:pt idx="2">
                  <c:v>Discontinuous</c:v>
                </c:pt>
                <c:pt idx="3">
                  <c:v>Continuous</c:v>
                </c:pt>
              </c:strCache>
            </c:strRef>
          </c:cat>
          <c:val>
            <c:numRef>
              <c:f>'Log data'!$U$15:$X$15</c:f>
              <c:numCache>
                <c:formatCode>0.000</c:formatCode>
                <c:ptCount val="4"/>
                <c:pt idx="0">
                  <c:v>0.41666666666666669</c:v>
                </c:pt>
                <c:pt idx="1">
                  <c:v>8.3333333333333329E-2</c:v>
                </c:pt>
                <c:pt idx="2">
                  <c:v>0.41666666666666669</c:v>
                </c:pt>
                <c:pt idx="3" formatCode="General">
                  <c:v>0.5</c:v>
                </c:pt>
              </c:numCache>
            </c:numRef>
          </c:val>
          <c:extLst>
            <c:ext xmlns:c16="http://schemas.microsoft.com/office/drawing/2014/chart" uri="{C3380CC4-5D6E-409C-BE32-E72D297353CC}">
              <c16:uniqueId val="{00000000-F6AE-4CA7-9645-78BA0DBD1D53}"/>
            </c:ext>
          </c:extLst>
        </c:ser>
        <c:dLbls>
          <c:dLblPos val="inBase"/>
          <c:showLegendKey val="0"/>
          <c:showVal val="1"/>
          <c:showCatName val="0"/>
          <c:showSerName val="0"/>
          <c:showPercent val="0"/>
          <c:showBubbleSize val="0"/>
        </c:dLbls>
        <c:gapWidth val="100"/>
        <c:axId val="1554353055"/>
        <c:axId val="2001265583"/>
      </c:barChart>
      <c:catAx>
        <c:axId val="1554353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65583"/>
        <c:crosses val="autoZero"/>
        <c:auto val="1"/>
        <c:lblAlgn val="ctr"/>
        <c:lblOffset val="100"/>
        <c:noMultiLvlLbl val="0"/>
      </c:catAx>
      <c:valAx>
        <c:axId val="200126558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53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Average time for each modality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data'!$A$152</c:f>
              <c:strCache>
                <c:ptCount val="1"/>
                <c:pt idx="0">
                  <c:v>R1</c:v>
                </c:pt>
              </c:strCache>
            </c:strRef>
          </c:tx>
          <c:spPr>
            <a:solidFill>
              <a:schemeClr val="accent4">
                <a:tint val="58000"/>
              </a:schemeClr>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data'!$G$151:$J$151</c:f>
              <c:strCache>
                <c:ptCount val="4"/>
                <c:pt idx="0">
                  <c:v>Map</c:v>
                </c:pt>
                <c:pt idx="1">
                  <c:v>Audio</c:v>
                </c:pt>
                <c:pt idx="2">
                  <c:v>Discontinuous</c:v>
                </c:pt>
                <c:pt idx="3">
                  <c:v>Continuous</c:v>
                </c:pt>
              </c:strCache>
            </c:strRef>
          </c:cat>
          <c:val>
            <c:numRef>
              <c:f>'Log data'!$G$153:$J$153</c:f>
              <c:numCache>
                <c:formatCode>0</c:formatCode>
                <c:ptCount val="4"/>
                <c:pt idx="0">
                  <c:v>138</c:v>
                </c:pt>
                <c:pt idx="1">
                  <c:v>119</c:v>
                </c:pt>
                <c:pt idx="2">
                  <c:v>115</c:v>
                </c:pt>
                <c:pt idx="3">
                  <c:v>128</c:v>
                </c:pt>
              </c:numCache>
            </c:numRef>
          </c:val>
          <c:extLst>
            <c:ext xmlns:c16="http://schemas.microsoft.com/office/drawing/2014/chart" uri="{C3380CC4-5D6E-409C-BE32-E72D297353CC}">
              <c16:uniqueId val="{00000000-94B9-463F-A3FA-6E39D805FF30}"/>
            </c:ext>
          </c:extLst>
        </c:ser>
        <c:ser>
          <c:idx val="1"/>
          <c:order val="1"/>
          <c:tx>
            <c:strRef>
              <c:f>'Log data'!$A$153</c:f>
              <c:strCache>
                <c:ptCount val="1"/>
                <c:pt idx="0">
                  <c:v>R2</c:v>
                </c:pt>
              </c:strCache>
            </c:strRef>
          </c:tx>
          <c:spPr>
            <a:solidFill>
              <a:schemeClr val="accent4">
                <a:tint val="86000"/>
              </a:schemeClr>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data'!$G$151:$J$151</c:f>
              <c:strCache>
                <c:ptCount val="4"/>
                <c:pt idx="0">
                  <c:v>Map</c:v>
                </c:pt>
                <c:pt idx="1">
                  <c:v>Audio</c:v>
                </c:pt>
                <c:pt idx="2">
                  <c:v>Discontinuous</c:v>
                </c:pt>
                <c:pt idx="3">
                  <c:v>Continuous</c:v>
                </c:pt>
              </c:strCache>
            </c:strRef>
          </c:cat>
          <c:val>
            <c:numRef>
              <c:f>'Log data'!$G$154:$J$154</c:f>
              <c:numCache>
                <c:formatCode>0</c:formatCode>
                <c:ptCount val="4"/>
                <c:pt idx="0">
                  <c:v>126</c:v>
                </c:pt>
                <c:pt idx="1">
                  <c:v>135</c:v>
                </c:pt>
                <c:pt idx="2">
                  <c:v>171</c:v>
                </c:pt>
                <c:pt idx="3">
                  <c:v>170</c:v>
                </c:pt>
              </c:numCache>
            </c:numRef>
          </c:val>
          <c:extLst>
            <c:ext xmlns:c16="http://schemas.microsoft.com/office/drawing/2014/chart" uri="{C3380CC4-5D6E-409C-BE32-E72D297353CC}">
              <c16:uniqueId val="{00000001-94B9-463F-A3FA-6E39D805FF30}"/>
            </c:ext>
          </c:extLst>
        </c:ser>
        <c:ser>
          <c:idx val="2"/>
          <c:order val="2"/>
          <c:tx>
            <c:strRef>
              <c:f>'Log data'!$A$154</c:f>
              <c:strCache>
                <c:ptCount val="1"/>
                <c:pt idx="0">
                  <c:v>R3</c:v>
                </c:pt>
              </c:strCache>
            </c:strRef>
          </c:tx>
          <c:spPr>
            <a:solidFill>
              <a:schemeClr val="accent4">
                <a:shade val="86000"/>
              </a:schemeClr>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data'!$G$151:$J$151</c:f>
              <c:strCache>
                <c:ptCount val="4"/>
                <c:pt idx="0">
                  <c:v>Map</c:v>
                </c:pt>
                <c:pt idx="1">
                  <c:v>Audio</c:v>
                </c:pt>
                <c:pt idx="2">
                  <c:v>Discontinuous</c:v>
                </c:pt>
                <c:pt idx="3">
                  <c:v>Continuous</c:v>
                </c:pt>
              </c:strCache>
            </c:strRef>
          </c:cat>
          <c:val>
            <c:numRef>
              <c:f>'Log data'!$G$155:$J$155</c:f>
              <c:numCache>
                <c:formatCode>0</c:formatCode>
                <c:ptCount val="4"/>
                <c:pt idx="0">
                  <c:v>131</c:v>
                </c:pt>
                <c:pt idx="1">
                  <c:v>124</c:v>
                </c:pt>
                <c:pt idx="2">
                  <c:v>129</c:v>
                </c:pt>
                <c:pt idx="3">
                  <c:v>164</c:v>
                </c:pt>
              </c:numCache>
            </c:numRef>
          </c:val>
          <c:extLst>
            <c:ext xmlns:c16="http://schemas.microsoft.com/office/drawing/2014/chart" uri="{C3380CC4-5D6E-409C-BE32-E72D297353CC}">
              <c16:uniqueId val="{00000002-94B9-463F-A3FA-6E39D805FF30}"/>
            </c:ext>
          </c:extLst>
        </c:ser>
        <c:ser>
          <c:idx val="3"/>
          <c:order val="3"/>
          <c:tx>
            <c:strRef>
              <c:f>'Log data'!$A$155</c:f>
              <c:strCache>
                <c:ptCount val="1"/>
                <c:pt idx="0">
                  <c:v>R4</c:v>
                </c:pt>
              </c:strCache>
            </c:strRef>
          </c:tx>
          <c:spPr>
            <a:solidFill>
              <a:schemeClr val="accent4">
                <a:shade val="58000"/>
              </a:schemeClr>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data'!$G$151:$J$151</c:f>
              <c:strCache>
                <c:ptCount val="4"/>
                <c:pt idx="0">
                  <c:v>Map</c:v>
                </c:pt>
                <c:pt idx="1">
                  <c:v>Audio</c:v>
                </c:pt>
                <c:pt idx="2">
                  <c:v>Discontinuous</c:v>
                </c:pt>
                <c:pt idx="3">
                  <c:v>Continuous</c:v>
                </c:pt>
              </c:strCache>
            </c:strRef>
          </c:cat>
          <c:val>
            <c:numRef>
              <c:f>'Log data'!$G$156:$J$156</c:f>
              <c:numCache>
                <c:formatCode>0.00</c:formatCode>
                <c:ptCount val="4"/>
                <c:pt idx="0">
                  <c:v>134.75</c:v>
                </c:pt>
                <c:pt idx="1">
                  <c:v>126.5</c:v>
                </c:pt>
                <c:pt idx="2">
                  <c:v>141.25</c:v>
                </c:pt>
                <c:pt idx="3">
                  <c:v>152.75</c:v>
                </c:pt>
              </c:numCache>
            </c:numRef>
          </c:val>
          <c:extLst>
            <c:ext xmlns:c16="http://schemas.microsoft.com/office/drawing/2014/chart" uri="{C3380CC4-5D6E-409C-BE32-E72D297353CC}">
              <c16:uniqueId val="{00000003-94B9-463F-A3FA-6E39D805FF30}"/>
            </c:ext>
          </c:extLst>
        </c:ser>
        <c:dLbls>
          <c:showLegendKey val="0"/>
          <c:showVal val="0"/>
          <c:showCatName val="0"/>
          <c:showSerName val="0"/>
          <c:showPercent val="0"/>
          <c:showBubbleSize val="0"/>
        </c:dLbls>
        <c:gapWidth val="219"/>
        <c:overlap val="-27"/>
        <c:axId val="1544607311"/>
        <c:axId val="1364543023"/>
      </c:barChart>
      <c:catAx>
        <c:axId val="15446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43023"/>
        <c:crosses val="autoZero"/>
        <c:auto val="1"/>
        <c:lblAlgn val="ctr"/>
        <c:lblOffset val="100"/>
        <c:noMultiLvlLbl val="0"/>
      </c:catAx>
      <c:valAx>
        <c:axId val="136454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Time in seconds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07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Average time for each route by modality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data'!$G$151</c:f>
              <c:strCache>
                <c:ptCount val="1"/>
                <c:pt idx="0">
                  <c:v>Map</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data'!$A$152:$A$155</c:f>
              <c:strCache>
                <c:ptCount val="4"/>
                <c:pt idx="0">
                  <c:v>R1</c:v>
                </c:pt>
                <c:pt idx="1">
                  <c:v>R2</c:v>
                </c:pt>
                <c:pt idx="2">
                  <c:v>R3</c:v>
                </c:pt>
                <c:pt idx="3">
                  <c:v>R4</c:v>
                </c:pt>
              </c:strCache>
            </c:strRef>
          </c:cat>
          <c:val>
            <c:numRef>
              <c:f>'Log data'!$G$152:$G$155</c:f>
              <c:numCache>
                <c:formatCode>0</c:formatCode>
                <c:ptCount val="4"/>
                <c:pt idx="0">
                  <c:v>144</c:v>
                </c:pt>
                <c:pt idx="1">
                  <c:v>138</c:v>
                </c:pt>
                <c:pt idx="2">
                  <c:v>126</c:v>
                </c:pt>
                <c:pt idx="3">
                  <c:v>131</c:v>
                </c:pt>
              </c:numCache>
            </c:numRef>
          </c:val>
          <c:extLst>
            <c:ext xmlns:c16="http://schemas.microsoft.com/office/drawing/2014/chart" uri="{C3380CC4-5D6E-409C-BE32-E72D297353CC}">
              <c16:uniqueId val="{00000000-4F4C-4D2B-B887-26D2C443D23D}"/>
            </c:ext>
          </c:extLst>
        </c:ser>
        <c:ser>
          <c:idx val="1"/>
          <c:order val="1"/>
          <c:tx>
            <c:strRef>
              <c:f>'Log data'!$H$151</c:f>
              <c:strCache>
                <c:ptCount val="1"/>
                <c:pt idx="0">
                  <c:v>Audio</c:v>
                </c:pt>
              </c:strCache>
            </c:strRef>
          </c:tx>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data'!$A$152:$A$155</c:f>
              <c:strCache>
                <c:ptCount val="4"/>
                <c:pt idx="0">
                  <c:v>R1</c:v>
                </c:pt>
                <c:pt idx="1">
                  <c:v>R2</c:v>
                </c:pt>
                <c:pt idx="2">
                  <c:v>R3</c:v>
                </c:pt>
                <c:pt idx="3">
                  <c:v>R4</c:v>
                </c:pt>
              </c:strCache>
            </c:strRef>
          </c:cat>
          <c:val>
            <c:numRef>
              <c:f>'Log data'!$H$152:$H$155</c:f>
              <c:numCache>
                <c:formatCode>0</c:formatCode>
                <c:ptCount val="4"/>
                <c:pt idx="0">
                  <c:v>128</c:v>
                </c:pt>
                <c:pt idx="1">
                  <c:v>119</c:v>
                </c:pt>
                <c:pt idx="2">
                  <c:v>135</c:v>
                </c:pt>
                <c:pt idx="3">
                  <c:v>124</c:v>
                </c:pt>
              </c:numCache>
            </c:numRef>
          </c:val>
          <c:extLst>
            <c:ext xmlns:c16="http://schemas.microsoft.com/office/drawing/2014/chart" uri="{C3380CC4-5D6E-409C-BE32-E72D297353CC}">
              <c16:uniqueId val="{00000001-4F4C-4D2B-B887-26D2C443D23D}"/>
            </c:ext>
          </c:extLst>
        </c:ser>
        <c:ser>
          <c:idx val="2"/>
          <c:order val="2"/>
          <c:tx>
            <c:strRef>
              <c:f>'Log data'!$I$151</c:f>
              <c:strCache>
                <c:ptCount val="1"/>
                <c:pt idx="0">
                  <c:v>Discontinuous</c:v>
                </c:pt>
              </c:strCache>
            </c:strRef>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data'!$A$152:$A$155</c:f>
              <c:strCache>
                <c:ptCount val="4"/>
                <c:pt idx="0">
                  <c:v>R1</c:v>
                </c:pt>
                <c:pt idx="1">
                  <c:v>R2</c:v>
                </c:pt>
                <c:pt idx="2">
                  <c:v>R3</c:v>
                </c:pt>
                <c:pt idx="3">
                  <c:v>R4</c:v>
                </c:pt>
              </c:strCache>
            </c:strRef>
          </c:cat>
          <c:val>
            <c:numRef>
              <c:f>'Log data'!$I$152:$I$155</c:f>
              <c:numCache>
                <c:formatCode>0</c:formatCode>
                <c:ptCount val="4"/>
                <c:pt idx="0">
                  <c:v>150</c:v>
                </c:pt>
                <c:pt idx="1">
                  <c:v>115</c:v>
                </c:pt>
                <c:pt idx="2">
                  <c:v>171</c:v>
                </c:pt>
                <c:pt idx="3">
                  <c:v>129</c:v>
                </c:pt>
              </c:numCache>
            </c:numRef>
          </c:val>
          <c:extLst>
            <c:ext xmlns:c16="http://schemas.microsoft.com/office/drawing/2014/chart" uri="{C3380CC4-5D6E-409C-BE32-E72D297353CC}">
              <c16:uniqueId val="{00000002-4F4C-4D2B-B887-26D2C443D23D}"/>
            </c:ext>
          </c:extLst>
        </c:ser>
        <c:ser>
          <c:idx val="3"/>
          <c:order val="3"/>
          <c:tx>
            <c:strRef>
              <c:f>'Log data'!$J$151</c:f>
              <c:strCache>
                <c:ptCount val="1"/>
                <c:pt idx="0">
                  <c:v>Continuous</c:v>
                </c:pt>
              </c:strCache>
            </c:strRef>
          </c:tx>
          <c:spPr>
            <a:solidFill>
              <a:schemeClr val="accent4"/>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'Log data'!$A$152:$A$155</c:f>
              <c:strCache>
                <c:ptCount val="4"/>
                <c:pt idx="0">
                  <c:v>R1</c:v>
                </c:pt>
                <c:pt idx="1">
                  <c:v>R2</c:v>
                </c:pt>
                <c:pt idx="2">
                  <c:v>R3</c:v>
                </c:pt>
                <c:pt idx="3">
                  <c:v>R4</c:v>
                </c:pt>
              </c:strCache>
            </c:strRef>
          </c:cat>
          <c:val>
            <c:numRef>
              <c:f>'Log data'!$J$152:$J$155</c:f>
              <c:numCache>
                <c:formatCode>0</c:formatCode>
                <c:ptCount val="4"/>
                <c:pt idx="0">
                  <c:v>149</c:v>
                </c:pt>
                <c:pt idx="1">
                  <c:v>128</c:v>
                </c:pt>
                <c:pt idx="2">
                  <c:v>170</c:v>
                </c:pt>
                <c:pt idx="3">
                  <c:v>164</c:v>
                </c:pt>
              </c:numCache>
            </c:numRef>
          </c:val>
          <c:extLst>
            <c:ext xmlns:c16="http://schemas.microsoft.com/office/drawing/2014/chart" uri="{C3380CC4-5D6E-409C-BE32-E72D297353CC}">
              <c16:uniqueId val="{00000003-4F4C-4D2B-B887-26D2C443D23D}"/>
            </c:ext>
          </c:extLst>
        </c:ser>
        <c:dLbls>
          <c:showLegendKey val="0"/>
          <c:showVal val="0"/>
          <c:showCatName val="0"/>
          <c:showSerName val="0"/>
          <c:showPercent val="0"/>
          <c:showBubbleSize val="0"/>
        </c:dLbls>
        <c:gapWidth val="219"/>
        <c:overlap val="-27"/>
        <c:axId val="1544643039"/>
        <c:axId val="1348802335"/>
      </c:barChart>
      <c:catAx>
        <c:axId val="154464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802335"/>
        <c:crosses val="autoZero"/>
        <c:auto val="1"/>
        <c:lblAlgn val="ctr"/>
        <c:lblOffset val="100"/>
        <c:noMultiLvlLbl val="0"/>
      </c:catAx>
      <c:valAx>
        <c:axId val="134880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Time in seconds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43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'Log data'!$U$2</c:f>
              <c:strCache>
                <c:ptCount val="1"/>
                <c:pt idx="0">
                  <c:v>Map</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numRef>
              <c:f>'Log data'!$T$3:$T$12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'Log data'!$U$3:$U$12</c:f>
              <c:numCache>
                <c:formatCode>General</c:formatCode>
                <c:ptCount val="10"/>
                <c:pt idx="0">
                  <c:v>0</c:v>
                </c:pt>
                <c:pt idx="1">
                  <c:v>1</c:v>
                </c:pt>
                <c:pt idx="2">
                  <c:v>0</c:v>
                </c:pt>
                <c:pt idx="3">
                  <c:v>1</c:v>
                </c:pt>
                <c:pt idx="4">
                  <c:v>0</c:v>
                </c:pt>
                <c:pt idx="5">
                  <c:v>0</c:v>
                </c:pt>
                <c:pt idx="6">
                  <c:v>1</c:v>
                </c:pt>
                <c:pt idx="7">
                  <c:v>1</c:v>
                </c:pt>
                <c:pt idx="8">
                  <c:v>0</c:v>
                </c:pt>
                <c:pt idx="9">
                  <c:v>0</c:v>
                </c:pt>
              </c:numCache>
            </c:numRef>
          </c:val>
          <c:extLst>
            <c:ext xmlns:c16="http://schemas.microsoft.com/office/drawing/2014/chart" uri="{C3380CC4-5D6E-409C-BE32-E72D297353CC}">
              <c16:uniqueId val="{00000000-6F52-496F-8768-42419E905D59}"/>
            </c:ext>
          </c:extLst>
        </c:ser>
        <c:ser>
          <c:idx val="1"/>
          <c:order val="1"/>
          <c:tx>
            <c:strRef>
              <c:f>'Log data'!$V$2</c:f>
              <c:strCache>
                <c:ptCount val="1"/>
                <c:pt idx="0">
                  <c:v>Audio</c:v>
                </c:pt>
              </c:strCache>
            </c:strRef>
          </c:tx>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numRef>
              <c:f>'Log data'!$T$3:$T$12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'Log data'!$V$3:$V$12</c:f>
              <c:numCache>
                <c:formatCode>General</c:formatCode>
                <c:ptCount val="10"/>
                <c:pt idx="0">
                  <c:v>0</c:v>
                </c:pt>
                <c:pt idx="1">
                  <c:v>0</c:v>
                </c:pt>
                <c:pt idx="2">
                  <c:v>0</c:v>
                </c:pt>
                <c:pt idx="3">
                  <c:v>0</c:v>
                </c:pt>
                <c:pt idx="4">
                  <c:v>1</c:v>
                </c:pt>
                <c:pt idx="5">
                  <c:v>0</c:v>
                </c:pt>
                <c:pt idx="6">
                  <c:v>0</c:v>
                </c:pt>
                <c:pt idx="7">
                  <c:v>0</c:v>
                </c:pt>
                <c:pt idx="8">
                  <c:v>0</c:v>
                </c:pt>
                <c:pt idx="9">
                  <c:v>0</c:v>
                </c:pt>
              </c:numCache>
            </c:numRef>
          </c:val>
          <c:extLst>
            <c:ext xmlns:c16="http://schemas.microsoft.com/office/drawing/2014/chart" uri="{C3380CC4-5D6E-409C-BE32-E72D297353CC}">
              <c16:uniqueId val="{00000001-6F52-496F-8768-42419E905D59}"/>
            </c:ext>
          </c:extLst>
        </c:ser>
        <c:ser>
          <c:idx val="2"/>
          <c:order val="2"/>
          <c:tx>
            <c:strRef>
              <c:f>'Log data'!$W$2</c:f>
              <c:strCache>
                <c:ptCount val="1"/>
                <c:pt idx="0">
                  <c:v>Discontinuous</c:v>
                </c:pt>
              </c:strCache>
            </c:strRef>
          </c:tx>
          <c:spPr>
            <a:solidFill>
              <a:schemeClr val="accent3"/>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numRef>
              <c:f>'Log data'!$T$3:$T$12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'Log data'!$W$3:$W$12</c:f>
              <c:numCache>
                <c:formatCode>General</c:formatCode>
                <c:ptCount val="10"/>
                <c:pt idx="0">
                  <c:v>1</c:v>
                </c:pt>
                <c:pt idx="1">
                  <c:v>0</c:v>
                </c:pt>
                <c:pt idx="2">
                  <c:v>0</c:v>
                </c:pt>
                <c:pt idx="3">
                  <c:v>0</c:v>
                </c:pt>
                <c:pt idx="4">
                  <c:v>0</c:v>
                </c:pt>
                <c:pt idx="5">
                  <c:v>2</c:v>
                </c:pt>
                <c:pt idx="6">
                  <c:v>0</c:v>
                </c:pt>
                <c:pt idx="7">
                  <c:v>0</c:v>
                </c:pt>
                <c:pt idx="8">
                  <c:v>1</c:v>
                </c:pt>
                <c:pt idx="9">
                  <c:v>1</c:v>
                </c:pt>
              </c:numCache>
            </c:numRef>
          </c:val>
          <c:extLst>
            <c:ext xmlns:c16="http://schemas.microsoft.com/office/drawing/2014/chart" uri="{C3380CC4-5D6E-409C-BE32-E72D297353CC}">
              <c16:uniqueId val="{00000002-6F52-496F-8768-42419E905D59}"/>
            </c:ext>
          </c:extLst>
        </c:ser>
        <c:ser>
          <c:idx val="3"/>
          <c:order val="3"/>
          <c:tx>
            <c:strRef>
              <c:f>'Log data'!$X$2</c:f>
              <c:strCache>
                <c:ptCount val="1"/>
                <c:pt idx="0">
                  <c:v>Continuous</c:v>
                </c:pt>
              </c:strCache>
            </c:strRef>
          </c:tx>
          <c:spPr>
            <a:solidFill>
              <a:schemeClr val="accent4"/>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numRef>
              <c:f>'Log data'!$T$3:$T$12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'Log data'!$X$3:$X$12</c:f>
              <c:numCache>
                <c:formatCode>General</c:formatCode>
                <c:ptCount val="10"/>
                <c:pt idx="0">
                  <c:v>1</c:v>
                </c:pt>
                <c:pt idx="1">
                  <c:v>2</c:v>
                </c:pt>
                <c:pt idx="2">
                  <c:v>1</c:v>
                </c:pt>
                <c:pt idx="3">
                  <c:v>0</c:v>
                </c:pt>
                <c:pt idx="4">
                  <c:v>0</c:v>
                </c:pt>
                <c:pt idx="5">
                  <c:v>1</c:v>
                </c:pt>
                <c:pt idx="6">
                  <c:v>0</c:v>
                </c:pt>
                <c:pt idx="7">
                  <c:v>0</c:v>
                </c:pt>
                <c:pt idx="8">
                  <c:v>0</c:v>
                </c:pt>
                <c:pt idx="9">
                  <c:v>0</c:v>
                </c:pt>
              </c:numCache>
            </c:numRef>
          </c:val>
          <c:extLst>
            <c:ext xmlns:c16="http://schemas.microsoft.com/office/drawing/2014/chart" uri="{C3380CC4-5D6E-409C-BE32-E72D297353CC}">
              <c16:uniqueId val="{00000003-6F52-496F-8768-42419E905D59}"/>
            </c:ext>
          </c:extLst>
        </c:ser>
        <c:dLbls>
          <c:showLegendKey val="0"/>
          <c:showVal val="0"/>
          <c:showCatName val="0"/>
          <c:showSerName val="0"/>
          <c:showPercent val="0"/>
          <c:showBubbleSize val="0"/>
        </c:dLbls>
        <c:gapWidth val="219"/>
        <c:overlap val="-27"/>
        <c:axId val="1554363263"/>
        <c:axId val="2001266063"/>
      </c:barChart>
      <c:catAx>
        <c:axId val="155436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66063"/>
        <c:crosses val="autoZero"/>
        <c:auto val="1"/>
        <c:lblAlgn val="ctr"/>
        <c:lblOffset val="100"/>
        <c:noMultiLvlLbl val="0"/>
      </c:catAx>
      <c:valAx>
        <c:axId val="200126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63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time in seconds with 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'Log data'!$G$103:$J$103</c:f>
                <c:numCache>
                  <c:formatCode>General</c:formatCode>
                  <c:ptCount val="4"/>
                  <c:pt idx="0">
                    <c:v>8.2832967501173709</c:v>
                  </c:pt>
                  <c:pt idx="1">
                    <c:v>3.5951112882392358</c:v>
                  </c:pt>
                  <c:pt idx="2">
                    <c:v>9.2455495499286791</c:v>
                  </c:pt>
                  <c:pt idx="3">
                    <c:v>6.9126950992614811</c:v>
                  </c:pt>
                </c:numCache>
              </c:numRef>
            </c:plus>
            <c:minus>
              <c:numRef>
                <c:f>'Log data'!$G$103:$J$103</c:f>
                <c:numCache>
                  <c:formatCode>General</c:formatCode>
                  <c:ptCount val="4"/>
                  <c:pt idx="0">
                    <c:v>8.2832967501173709</c:v>
                  </c:pt>
                  <c:pt idx="1">
                    <c:v>3.5951112882392358</c:v>
                  </c:pt>
                  <c:pt idx="2">
                    <c:v>9.2455495499286791</c:v>
                  </c:pt>
                  <c:pt idx="3">
                    <c:v>6.9126950992614811</c:v>
                  </c:pt>
                </c:numCache>
              </c:numRef>
            </c:minus>
            <c:spPr>
              <a:noFill/>
              <a:ln w="15875" cap="flat" cmpd="sng" algn="ctr">
                <a:solidFill>
                  <a:schemeClr val="tx1">
                    <a:lumMod val="65000"/>
                    <a:lumOff val="35000"/>
                  </a:schemeClr>
                </a:solidFill>
                <a:round/>
              </a:ln>
              <a:effectLst/>
            </c:spPr>
          </c:errBars>
          <c:cat>
            <c:strRef>
              <c:f>'Log data'!$G$88:$J$88</c:f>
              <c:strCache>
                <c:ptCount val="4"/>
                <c:pt idx="0">
                  <c:v>Map</c:v>
                </c:pt>
                <c:pt idx="1">
                  <c:v>Audio</c:v>
                </c:pt>
                <c:pt idx="2">
                  <c:v>Discontinuous</c:v>
                </c:pt>
                <c:pt idx="3">
                  <c:v>Continuous</c:v>
                </c:pt>
              </c:strCache>
            </c:strRef>
          </c:cat>
          <c:val>
            <c:numRef>
              <c:f>'Log data'!$G$101:$J$101</c:f>
              <c:numCache>
                <c:formatCode>General</c:formatCode>
                <c:ptCount val="4"/>
                <c:pt idx="0">
                  <c:v>128.91666666666666</c:v>
                </c:pt>
                <c:pt idx="1">
                  <c:v>123.75</c:v>
                </c:pt>
                <c:pt idx="2">
                  <c:v>144.83333333333334</c:v>
                </c:pt>
                <c:pt idx="3">
                  <c:v>152.83333333333334</c:v>
                </c:pt>
              </c:numCache>
            </c:numRef>
          </c:val>
          <c:extLst>
            <c:ext xmlns:c16="http://schemas.microsoft.com/office/drawing/2014/chart" uri="{C3380CC4-5D6E-409C-BE32-E72D297353CC}">
              <c16:uniqueId val="{00000000-6219-4C4E-85A5-1C459009F58B}"/>
            </c:ext>
          </c:extLst>
        </c:ser>
        <c:dLbls>
          <c:showLegendKey val="0"/>
          <c:showVal val="0"/>
          <c:showCatName val="0"/>
          <c:showSerName val="0"/>
          <c:showPercent val="0"/>
          <c:showBubbleSize val="0"/>
        </c:dLbls>
        <c:gapWidth val="219"/>
        <c:overlap val="-27"/>
        <c:axId val="463484863"/>
        <c:axId val="473064031"/>
      </c:barChart>
      <c:catAx>
        <c:axId val="46348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064031"/>
        <c:crosses val="autoZero"/>
        <c:auto val="1"/>
        <c:lblAlgn val="ctr"/>
        <c:lblOffset val="100"/>
        <c:noMultiLvlLbl val="0"/>
      </c:catAx>
      <c:valAx>
        <c:axId val="47306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84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SUS</a:t>
            </a:r>
            <a:r>
              <a:rPr lang="en-IN" baseline="0"/>
              <a:t> Scores with 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'[1]SUS data'!$B$16:$E$16</c:f>
                <c:numCache>
                  <c:formatCode>General</c:formatCode>
                  <c:ptCount val="4"/>
                  <c:pt idx="0">
                    <c:v>6.5616732283431762</c:v>
                  </c:pt>
                  <c:pt idx="1">
                    <c:v>2.6434536542603166</c:v>
                  </c:pt>
                  <c:pt idx="2">
                    <c:v>4.0015007312072122</c:v>
                  </c:pt>
                  <c:pt idx="3">
                    <c:v>4.3045753812615439</c:v>
                  </c:pt>
                </c:numCache>
              </c:numRef>
            </c:plus>
            <c:minus>
              <c:numRef>
                <c:f>'[1]SUS data'!$B$16:$E$16</c:f>
                <c:numCache>
                  <c:formatCode>General</c:formatCode>
                  <c:ptCount val="4"/>
                  <c:pt idx="0">
                    <c:v>6.5616732283431762</c:v>
                  </c:pt>
                  <c:pt idx="1">
                    <c:v>2.6434536542603166</c:v>
                  </c:pt>
                  <c:pt idx="2">
                    <c:v>4.0015007312072122</c:v>
                  </c:pt>
                  <c:pt idx="3">
                    <c:v>4.3045753812615439</c:v>
                  </c:pt>
                </c:numCache>
              </c:numRef>
            </c:minus>
            <c:spPr>
              <a:noFill/>
              <a:ln w="15875" cap="flat" cmpd="sng" algn="ctr">
                <a:solidFill>
                  <a:schemeClr val="tx1">
                    <a:lumMod val="65000"/>
                    <a:lumOff val="35000"/>
                  </a:schemeClr>
                </a:solidFill>
                <a:round/>
              </a:ln>
              <a:effectLst/>
            </c:spPr>
          </c:errBars>
          <c:cat>
            <c:strRef>
              <c:f>'[1]SUS data'!$B$1:$E$1</c:f>
              <c:strCache>
                <c:ptCount val="4"/>
                <c:pt idx="0">
                  <c:v>Map</c:v>
                </c:pt>
                <c:pt idx="1">
                  <c:v>Audio</c:v>
                </c:pt>
                <c:pt idx="2">
                  <c:v>Discontinuous</c:v>
                </c:pt>
                <c:pt idx="3">
                  <c:v>Continuous</c:v>
                </c:pt>
              </c:strCache>
            </c:strRef>
          </c:cat>
          <c:val>
            <c:numRef>
              <c:f>'[1]SUS data'!$B$14:$E$14</c:f>
              <c:numCache>
                <c:formatCode>General</c:formatCode>
                <c:ptCount val="4"/>
                <c:pt idx="0">
                  <c:v>62.5</c:v>
                </c:pt>
                <c:pt idx="1">
                  <c:v>83.75</c:v>
                </c:pt>
                <c:pt idx="2">
                  <c:v>67.708333333333329</c:v>
                </c:pt>
                <c:pt idx="3">
                  <c:v>61.458333333333336</c:v>
                </c:pt>
              </c:numCache>
            </c:numRef>
          </c:val>
          <c:extLst>
            <c:ext xmlns:c16="http://schemas.microsoft.com/office/drawing/2014/chart" uri="{C3380CC4-5D6E-409C-BE32-E72D297353CC}">
              <c16:uniqueId val="{00000000-9537-4F2E-8CAD-A5A91A1392D7}"/>
            </c:ext>
          </c:extLst>
        </c:ser>
        <c:dLbls>
          <c:showLegendKey val="0"/>
          <c:showVal val="0"/>
          <c:showCatName val="0"/>
          <c:showSerName val="0"/>
          <c:showPercent val="0"/>
          <c:showBubbleSize val="0"/>
        </c:dLbls>
        <c:gapWidth val="219"/>
        <c:overlap val="-27"/>
        <c:axId val="8732863"/>
        <c:axId val="12501775"/>
      </c:barChart>
      <c:catAx>
        <c:axId val="873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775"/>
        <c:crosses val="autoZero"/>
        <c:auto val="1"/>
        <c:lblAlgn val="ctr"/>
        <c:lblOffset val="100"/>
        <c:noMultiLvlLbl val="0"/>
      </c:catAx>
      <c:valAx>
        <c:axId val="1250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13</xdr:col>
      <xdr:colOff>663387</xdr:colOff>
      <xdr:row>19</xdr:row>
      <xdr:rowOff>641</xdr:rowOff>
    </xdr:from>
    <xdr:to>
      <xdr:col>27</xdr:col>
      <xdr:colOff>439271</xdr:colOff>
      <xdr:row>41</xdr:row>
      <xdr:rowOff>85165</xdr:rowOff>
    </xdr:to>
    <xdr:graphicFrame macro="">
      <xdr:nvGraphicFramePr>
        <xdr:cNvPr id="3" name="Chart 2">
          <a:extLst>
            <a:ext uri="{FF2B5EF4-FFF2-40B4-BE49-F238E27FC236}">
              <a16:creationId xmlns:a16="http://schemas.microsoft.com/office/drawing/2014/main" id="{48A04CAC-A1FC-BA78-5829-56A8F1236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221428</xdr:colOff>
      <xdr:row>80</xdr:row>
      <xdr:rowOff>62754</xdr:rowOff>
    </xdr:from>
    <xdr:to>
      <xdr:col>21</xdr:col>
      <xdr:colOff>488128</xdr:colOff>
      <xdr:row>97</xdr:row>
      <xdr:rowOff>5603</xdr:rowOff>
    </xdr:to>
    <xdr:graphicFrame macro="">
      <xdr:nvGraphicFramePr>
        <xdr:cNvPr id="6" name="Chart 5">
          <a:extLst>
            <a:ext uri="{FF2B5EF4-FFF2-40B4-BE49-F238E27FC236}">
              <a16:creationId xmlns:a16="http://schemas.microsoft.com/office/drawing/2014/main" id="{88508A74-BE9D-EAFB-11D9-4F6209102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769747</xdr:colOff>
      <xdr:row>80</xdr:row>
      <xdr:rowOff>104151</xdr:rowOff>
    </xdr:from>
    <xdr:to>
      <xdr:col>29</xdr:col>
      <xdr:colOff>347446</xdr:colOff>
      <xdr:row>97</xdr:row>
      <xdr:rowOff>45656</xdr:rowOff>
    </xdr:to>
    <xdr:graphicFrame macro="">
      <xdr:nvGraphicFramePr>
        <xdr:cNvPr id="7" name="Chart 6">
          <a:extLst>
            <a:ext uri="{FF2B5EF4-FFF2-40B4-BE49-F238E27FC236}">
              <a16:creationId xmlns:a16="http://schemas.microsoft.com/office/drawing/2014/main" id="{EAADDC98-B0FF-C4D7-C072-BBA9A20F2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288087</xdr:colOff>
      <xdr:row>42</xdr:row>
      <xdr:rowOff>19115</xdr:rowOff>
    </xdr:from>
    <xdr:to>
      <xdr:col>29</xdr:col>
      <xdr:colOff>495620</xdr:colOff>
      <xdr:row>78</xdr:row>
      <xdr:rowOff>63394</xdr:rowOff>
    </xdr:to>
    <xdr:graphicFrame macro="">
      <xdr:nvGraphicFramePr>
        <xdr:cNvPr id="9" name="Chart 8">
          <a:extLst>
            <a:ext uri="{FF2B5EF4-FFF2-40B4-BE49-F238E27FC236}">
              <a16:creationId xmlns:a16="http://schemas.microsoft.com/office/drawing/2014/main" id="{CEB10467-6918-E3E1-DA5B-BE66D1B91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792480</xdr:colOff>
      <xdr:row>51</xdr:row>
      <xdr:rowOff>3810</xdr:rowOff>
    </xdr:from>
    <xdr:to>
      <xdr:col>7</xdr:col>
      <xdr:colOff>678180</xdr:colOff>
      <xdr:row>66</xdr:row>
      <xdr:rowOff>3810</xdr:rowOff>
    </xdr:to>
    <xdr:graphicFrame macro="">
      <xdr:nvGraphicFramePr>
        <xdr:cNvPr id="10" name="Chart 9">
          <a:extLst>
            <a:ext uri="{FF2B5EF4-FFF2-40B4-BE49-F238E27FC236}">
              <a16:creationId xmlns:a16="http://schemas.microsoft.com/office/drawing/2014/main" id="{D3FE8F41-EB57-1221-5CFA-ED3925AAE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66</xdr:row>
      <xdr:rowOff>163830</xdr:rowOff>
    </xdr:from>
    <xdr:to>
      <xdr:col>7</xdr:col>
      <xdr:colOff>685800</xdr:colOff>
      <xdr:row>81</xdr:row>
      <xdr:rowOff>163830</xdr:rowOff>
    </xdr:to>
    <xdr:graphicFrame macro="">
      <xdr:nvGraphicFramePr>
        <xdr:cNvPr id="11" name="Chart 10">
          <a:extLst>
            <a:ext uri="{FF2B5EF4-FFF2-40B4-BE49-F238E27FC236}">
              <a16:creationId xmlns:a16="http://schemas.microsoft.com/office/drawing/2014/main" id="{1757A459-E29C-C2F7-B534-92A391215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126147</xdr:colOff>
      <xdr:row>1</xdr:row>
      <xdr:rowOff>128067</xdr:rowOff>
    </xdr:from>
    <xdr:to>
      <xdr:col>35</xdr:col>
      <xdr:colOff>430947</xdr:colOff>
      <xdr:row>16</xdr:row>
      <xdr:rowOff>154961</xdr:rowOff>
    </xdr:to>
    <xdr:graphicFrame macro="">
      <xdr:nvGraphicFramePr>
        <xdr:cNvPr id="4" name="Chart 3">
          <a:extLst>
            <a:ext uri="{FF2B5EF4-FFF2-40B4-BE49-F238E27FC236}">
              <a16:creationId xmlns:a16="http://schemas.microsoft.com/office/drawing/2014/main" id="{16497730-771F-67F1-60FF-FCBE4C543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138952</xdr:colOff>
      <xdr:row>17</xdr:row>
      <xdr:rowOff>92208</xdr:rowOff>
    </xdr:from>
    <xdr:to>
      <xdr:col>35</xdr:col>
      <xdr:colOff>443752</xdr:colOff>
      <xdr:row>32</xdr:row>
      <xdr:rowOff>94128</xdr:rowOff>
    </xdr:to>
    <xdr:graphicFrame macro="">
      <xdr:nvGraphicFramePr>
        <xdr:cNvPr id="5" name="Chart 4">
          <a:extLst>
            <a:ext uri="{FF2B5EF4-FFF2-40B4-BE49-F238E27FC236}">
              <a16:creationId xmlns:a16="http://schemas.microsoft.com/office/drawing/2014/main" id="{B44F17C1-CC4B-487D-627B-58601FFCE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488780</xdr:colOff>
      <xdr:row>161</xdr:row>
      <xdr:rowOff>97787</xdr:rowOff>
    </xdr:from>
    <xdr:to>
      <xdr:col>7</xdr:col>
      <xdr:colOff>1703500</xdr:colOff>
      <xdr:row>183</xdr:row>
      <xdr:rowOff>61928</xdr:rowOff>
    </xdr:to>
    <xdr:graphicFrame macro="">
      <xdr:nvGraphicFramePr>
        <xdr:cNvPr id="8" name="Chart 7">
          <a:extLst>
            <a:ext uri="{FF2B5EF4-FFF2-40B4-BE49-F238E27FC236}">
              <a16:creationId xmlns:a16="http://schemas.microsoft.com/office/drawing/2014/main" id="{FE73C56D-0990-E1B1-747A-B90FD3D20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829234</xdr:colOff>
      <xdr:row>161</xdr:row>
      <xdr:rowOff>120383</xdr:rowOff>
    </xdr:from>
    <xdr:to>
      <xdr:col>18</xdr:col>
      <xdr:colOff>74278</xdr:colOff>
      <xdr:row>183</xdr:row>
      <xdr:rowOff>57630</xdr:rowOff>
    </xdr:to>
    <xdr:graphicFrame macro="">
      <xdr:nvGraphicFramePr>
        <xdr:cNvPr id="14" name="Chart 13">
          <a:extLst>
            <a:ext uri="{FF2B5EF4-FFF2-40B4-BE49-F238E27FC236}">
              <a16:creationId xmlns:a16="http://schemas.microsoft.com/office/drawing/2014/main" id="{546B8F5C-9663-0593-3103-6B431EC7D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107869</xdr:colOff>
      <xdr:row>80</xdr:row>
      <xdr:rowOff>131619</xdr:rowOff>
    </xdr:from>
    <xdr:to>
      <xdr:col>37</xdr:col>
      <xdr:colOff>412669</xdr:colOff>
      <xdr:row>95</xdr:row>
      <xdr:rowOff>159328</xdr:rowOff>
    </xdr:to>
    <xdr:graphicFrame macro="">
      <xdr:nvGraphicFramePr>
        <xdr:cNvPr id="15" name="Chart 14">
          <a:extLst>
            <a:ext uri="{FF2B5EF4-FFF2-40B4-BE49-F238E27FC236}">
              <a16:creationId xmlns:a16="http://schemas.microsoft.com/office/drawing/2014/main" id="{1562E543-08E7-C025-715B-D010699F3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451068</xdr:colOff>
      <xdr:row>99</xdr:row>
      <xdr:rowOff>169918</xdr:rowOff>
    </xdr:from>
    <xdr:to>
      <xdr:col>15</xdr:col>
      <xdr:colOff>608723</xdr:colOff>
      <xdr:row>114</xdr:row>
      <xdr:rowOff>136635</xdr:rowOff>
    </xdr:to>
    <xdr:graphicFrame macro="">
      <xdr:nvGraphicFramePr>
        <xdr:cNvPr id="16" name="Chart 15">
          <a:extLst>
            <a:ext uri="{FF2B5EF4-FFF2-40B4-BE49-F238E27FC236}">
              <a16:creationId xmlns:a16="http://schemas.microsoft.com/office/drawing/2014/main" id="{0B34CCEA-BDB0-B286-CEBB-FB0672A83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653143</xdr:colOff>
      <xdr:row>5</xdr:row>
      <xdr:rowOff>43543</xdr:rowOff>
    </xdr:from>
    <xdr:to>
      <xdr:col>6</xdr:col>
      <xdr:colOff>377372</xdr:colOff>
      <xdr:row>17</xdr:row>
      <xdr:rowOff>174171</xdr:rowOff>
    </xdr:to>
    <xdr:graphicFrame macro="">
      <xdr:nvGraphicFramePr>
        <xdr:cNvPr id="3" name="Chart 2">
          <a:extLst>
            <a:ext uri="{FF2B5EF4-FFF2-40B4-BE49-F238E27FC236}">
              <a16:creationId xmlns:a16="http://schemas.microsoft.com/office/drawing/2014/main" id="{2E6C8D17-DF33-4728-84FD-5B4AC8828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tudy\CS\Research\Jasp%20data\SUS%20data.csv" TargetMode="External"/><Relationship Id="rId1" Type="http://schemas.openxmlformats.org/officeDocument/2006/relationships/externalLinkPath" Target="/Study/CS/Research/Jasp%20data/SUS%20data.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S data"/>
    </sheetNames>
    <sheetDataSet>
      <sheetData sheetId="0">
        <row r="1">
          <cell r="B1" t="str">
            <v>Map</v>
          </cell>
          <cell r="C1" t="str">
            <v>Audio</v>
          </cell>
          <cell r="D1" t="str">
            <v>Discontinuous</v>
          </cell>
          <cell r="E1" t="str">
            <v>Continuous</v>
          </cell>
        </row>
        <row r="14">
          <cell r="B14">
            <v>62.5</v>
          </cell>
          <cell r="C14">
            <v>83.75</v>
          </cell>
          <cell r="D14">
            <v>67.708333333333329</v>
          </cell>
          <cell r="E14">
            <v>61.458333333333336</v>
          </cell>
        </row>
        <row r="16">
          <cell r="B16">
            <v>6.5616732283431762</v>
          </cell>
          <cell r="C16">
            <v>2.6434536542603166</v>
          </cell>
          <cell r="D16">
            <v>4.0015007312072122</v>
          </cell>
          <cell r="E16">
            <v>4.3045753812615439</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8"/>
  <sheetViews>
    <sheetView topLeftCell="M74" zoomScale="87" zoomScaleNormal="87" workbookViewId="0">
      <selection activeCell="I182" sqref="I182"/>
    </sheetView>
  </sheetViews>
  <sheetFormatPr defaultRowHeight="14.4" x14ac:dyDescent="0.3"/>
  <cols>
    <col min="1" max="1" width="12.33203125" bestFit="1" customWidth="1"/>
    <col min="2" max="2" width="8.6640625" bestFit="1" customWidth="1"/>
    <col min="3" max="3" width="23.6640625" bestFit="1" customWidth="1"/>
    <col min="4" max="4" width="13.6640625" bestFit="1" customWidth="1"/>
    <col min="5" max="5" width="11.109375" bestFit="1" customWidth="1"/>
    <col min="6" max="6" width="10.44140625" bestFit="1" customWidth="1"/>
    <col min="7" max="7" width="13.33203125" bestFit="1" customWidth="1"/>
    <col min="8" max="8" width="29.6640625" bestFit="1" customWidth="1"/>
    <col min="9" max="9" width="13.6640625" bestFit="1" customWidth="1"/>
    <col min="10" max="10" width="13.33203125" bestFit="1" customWidth="1"/>
    <col min="11" max="11" width="13.6640625" bestFit="1" customWidth="1"/>
    <col min="12" max="13" width="13.33203125" bestFit="1" customWidth="1"/>
    <col min="14" max="14" width="10.88671875" bestFit="1" customWidth="1"/>
    <col min="15" max="16" width="13.33203125" bestFit="1" customWidth="1"/>
    <col min="17" max="17" width="13.6640625" bestFit="1" customWidth="1"/>
    <col min="18" max="18" width="13.33203125" bestFit="1" customWidth="1"/>
    <col min="20" max="20" width="10.88671875" bestFit="1" customWidth="1"/>
    <col min="21" max="22" width="13.33203125" bestFit="1" customWidth="1"/>
    <col min="23" max="23" width="13.6640625" bestFit="1" customWidth="1"/>
    <col min="24" max="24" width="13.33203125" bestFit="1" customWidth="1"/>
  </cols>
  <sheetData>
    <row r="1" spans="1:25" x14ac:dyDescent="0.3">
      <c r="I1" s="17"/>
      <c r="J1" s="18"/>
      <c r="K1" s="44" t="s">
        <v>0</v>
      </c>
      <c r="L1" s="19"/>
      <c r="N1" s="17"/>
      <c r="O1" s="18"/>
      <c r="P1" s="44" t="s">
        <v>1</v>
      </c>
      <c r="Q1" s="18"/>
      <c r="R1" s="19"/>
      <c r="T1" s="17"/>
      <c r="U1" s="18"/>
      <c r="V1" s="44" t="s">
        <v>2</v>
      </c>
      <c r="W1" s="18"/>
      <c r="X1" s="19"/>
    </row>
    <row r="2" spans="1:25" x14ac:dyDescent="0.3">
      <c r="I2" s="20" t="s">
        <v>3</v>
      </c>
      <c r="J2" s="3" t="s">
        <v>4</v>
      </c>
      <c r="K2" s="3" t="s">
        <v>5</v>
      </c>
      <c r="L2" s="21" t="s">
        <v>6</v>
      </c>
      <c r="N2" s="20" t="s">
        <v>3</v>
      </c>
      <c r="O2" s="3" t="s">
        <v>7</v>
      </c>
      <c r="P2" s="3" t="s">
        <v>4</v>
      </c>
      <c r="Q2" s="3" t="s">
        <v>5</v>
      </c>
      <c r="R2" s="21" t="s">
        <v>6</v>
      </c>
      <c r="T2" s="20" t="s">
        <v>3</v>
      </c>
      <c r="U2" s="3" t="s">
        <v>7</v>
      </c>
      <c r="V2" s="3" t="s">
        <v>4</v>
      </c>
      <c r="W2" s="3" t="s">
        <v>5</v>
      </c>
      <c r="X2" s="21" t="s">
        <v>6</v>
      </c>
    </row>
    <row r="3" spans="1:25" x14ac:dyDescent="0.3">
      <c r="I3" s="20">
        <v>1</v>
      </c>
      <c r="J3" s="3">
        <v>20</v>
      </c>
      <c r="K3" s="3">
        <v>23</v>
      </c>
      <c r="L3" s="21">
        <v>33</v>
      </c>
      <c r="N3" s="20">
        <v>1</v>
      </c>
      <c r="O3" s="3">
        <v>2</v>
      </c>
      <c r="P3" s="3">
        <v>0</v>
      </c>
      <c r="Q3" s="3">
        <v>2</v>
      </c>
      <c r="R3" s="21">
        <v>1</v>
      </c>
      <c r="T3" s="20">
        <v>1</v>
      </c>
      <c r="U3" s="3">
        <v>0</v>
      </c>
      <c r="V3" s="3">
        <v>0</v>
      </c>
      <c r="W3" s="3">
        <v>1</v>
      </c>
      <c r="X3" s="21">
        <v>1</v>
      </c>
    </row>
    <row r="4" spans="1:25" x14ac:dyDescent="0.3">
      <c r="I4" s="20">
        <v>2</v>
      </c>
      <c r="J4" s="3">
        <v>14</v>
      </c>
      <c r="K4" s="3">
        <v>34</v>
      </c>
      <c r="L4" s="21">
        <v>26</v>
      </c>
      <c r="N4" s="20">
        <v>2</v>
      </c>
      <c r="O4" s="3">
        <v>1</v>
      </c>
      <c r="P4" s="3">
        <v>0</v>
      </c>
      <c r="Q4" s="3">
        <v>1</v>
      </c>
      <c r="R4" s="21">
        <v>1</v>
      </c>
      <c r="T4" s="20">
        <v>2</v>
      </c>
      <c r="U4" s="3">
        <v>1</v>
      </c>
      <c r="V4" s="3">
        <v>0</v>
      </c>
      <c r="W4" s="3">
        <v>0</v>
      </c>
      <c r="X4" s="21">
        <v>2</v>
      </c>
    </row>
    <row r="5" spans="1:25" x14ac:dyDescent="0.3">
      <c r="I5" s="20">
        <v>3</v>
      </c>
      <c r="J5" s="3">
        <v>15</v>
      </c>
      <c r="K5" s="3">
        <v>21</v>
      </c>
      <c r="L5" s="21">
        <v>30</v>
      </c>
      <c r="N5" s="20">
        <v>3</v>
      </c>
      <c r="O5" s="3">
        <v>0</v>
      </c>
      <c r="P5" s="3">
        <v>0</v>
      </c>
      <c r="Q5" s="3">
        <v>0</v>
      </c>
      <c r="R5" s="21">
        <v>1</v>
      </c>
      <c r="T5" s="20">
        <v>3</v>
      </c>
      <c r="U5" s="3">
        <v>0</v>
      </c>
      <c r="V5" s="3">
        <v>0</v>
      </c>
      <c r="W5" s="3">
        <v>0</v>
      </c>
      <c r="X5" s="21">
        <v>1</v>
      </c>
    </row>
    <row r="6" spans="1:25" x14ac:dyDescent="0.3">
      <c r="I6" s="20">
        <v>4</v>
      </c>
      <c r="J6" s="3">
        <v>14</v>
      </c>
      <c r="K6" s="3">
        <v>31</v>
      </c>
      <c r="L6" s="21">
        <v>25</v>
      </c>
      <c r="N6" s="20">
        <v>4</v>
      </c>
      <c r="O6" s="3">
        <v>1</v>
      </c>
      <c r="P6" s="3">
        <v>0</v>
      </c>
      <c r="Q6" s="3">
        <v>1</v>
      </c>
      <c r="R6" s="21">
        <v>1</v>
      </c>
      <c r="T6" s="20">
        <v>4</v>
      </c>
      <c r="U6" s="3">
        <v>1</v>
      </c>
      <c r="V6" s="3">
        <v>0</v>
      </c>
      <c r="W6" s="3">
        <v>0</v>
      </c>
      <c r="X6" s="21">
        <v>0</v>
      </c>
    </row>
    <row r="7" spans="1:25" x14ac:dyDescent="0.3">
      <c r="I7" s="20">
        <v>5</v>
      </c>
      <c r="J7" s="3">
        <v>16</v>
      </c>
      <c r="K7" s="3">
        <v>23</v>
      </c>
      <c r="L7" s="21">
        <v>28</v>
      </c>
      <c r="N7" s="20">
        <v>5</v>
      </c>
      <c r="O7" s="3">
        <v>1</v>
      </c>
      <c r="P7" s="3">
        <v>1</v>
      </c>
      <c r="Q7" s="3">
        <v>0</v>
      </c>
      <c r="R7" s="21">
        <v>1</v>
      </c>
      <c r="T7" s="20">
        <v>5</v>
      </c>
      <c r="U7" s="3">
        <v>0</v>
      </c>
      <c r="V7" s="3">
        <v>1</v>
      </c>
      <c r="W7" s="3">
        <v>0</v>
      </c>
      <c r="X7" s="21">
        <v>0</v>
      </c>
    </row>
    <row r="8" spans="1:25" x14ac:dyDescent="0.3">
      <c r="I8" s="20">
        <v>6</v>
      </c>
      <c r="J8" s="3">
        <v>14</v>
      </c>
      <c r="K8" s="3">
        <v>31</v>
      </c>
      <c r="L8" s="21">
        <v>22</v>
      </c>
      <c r="N8" s="20">
        <v>6</v>
      </c>
      <c r="O8" s="3">
        <v>2</v>
      </c>
      <c r="P8" s="3">
        <v>0</v>
      </c>
      <c r="Q8" s="3">
        <v>2</v>
      </c>
      <c r="R8" s="21">
        <v>1</v>
      </c>
      <c r="T8" s="20">
        <v>6</v>
      </c>
      <c r="U8" s="3">
        <v>0</v>
      </c>
      <c r="V8" s="3">
        <v>0</v>
      </c>
      <c r="W8" s="3">
        <v>2</v>
      </c>
      <c r="X8" s="21">
        <v>1</v>
      </c>
    </row>
    <row r="9" spans="1:25" x14ac:dyDescent="0.3">
      <c r="I9" s="20">
        <v>7</v>
      </c>
      <c r="J9" s="3">
        <v>12</v>
      </c>
      <c r="K9" s="3">
        <v>24</v>
      </c>
      <c r="L9" s="21">
        <v>26</v>
      </c>
      <c r="N9" s="20">
        <v>7</v>
      </c>
      <c r="O9" s="3">
        <v>1</v>
      </c>
      <c r="P9" s="3">
        <v>0</v>
      </c>
      <c r="Q9" s="3">
        <v>0</v>
      </c>
      <c r="R9" s="21">
        <v>0</v>
      </c>
      <c r="T9" s="20">
        <v>7</v>
      </c>
      <c r="U9" s="3">
        <v>1</v>
      </c>
      <c r="V9" s="3">
        <v>0</v>
      </c>
      <c r="W9" s="3">
        <v>0</v>
      </c>
      <c r="X9" s="21">
        <v>0</v>
      </c>
    </row>
    <row r="10" spans="1:25" x14ac:dyDescent="0.3">
      <c r="I10" s="20">
        <v>8</v>
      </c>
      <c r="J10" s="3">
        <v>13</v>
      </c>
      <c r="K10" s="3">
        <v>21</v>
      </c>
      <c r="L10" s="21">
        <v>24</v>
      </c>
      <c r="N10" s="20">
        <v>8</v>
      </c>
      <c r="O10" s="3">
        <v>1</v>
      </c>
      <c r="P10" s="3">
        <v>0</v>
      </c>
      <c r="Q10" s="3">
        <v>0</v>
      </c>
      <c r="R10" s="21">
        <v>0</v>
      </c>
      <c r="T10" s="20">
        <v>8</v>
      </c>
      <c r="U10" s="3">
        <v>1</v>
      </c>
      <c r="V10" s="3">
        <v>0</v>
      </c>
      <c r="W10" s="3">
        <v>0</v>
      </c>
      <c r="X10" s="21">
        <v>0</v>
      </c>
    </row>
    <row r="11" spans="1:25" x14ac:dyDescent="0.3">
      <c r="I11" s="20">
        <v>9</v>
      </c>
      <c r="J11" s="3">
        <v>15</v>
      </c>
      <c r="K11" s="3">
        <v>26</v>
      </c>
      <c r="L11" s="21">
        <v>26</v>
      </c>
      <c r="N11" s="20">
        <v>9</v>
      </c>
      <c r="O11" s="3">
        <v>0</v>
      </c>
      <c r="P11" s="3">
        <v>0</v>
      </c>
      <c r="Q11" s="3">
        <v>1</v>
      </c>
      <c r="R11" s="21">
        <v>1</v>
      </c>
      <c r="T11" s="20">
        <v>9</v>
      </c>
      <c r="U11" s="3">
        <v>0</v>
      </c>
      <c r="V11" s="3">
        <v>0</v>
      </c>
      <c r="W11" s="3">
        <v>1</v>
      </c>
      <c r="X11" s="21">
        <v>0</v>
      </c>
    </row>
    <row r="12" spans="1:25" x14ac:dyDescent="0.3">
      <c r="I12" s="20">
        <v>10</v>
      </c>
      <c r="J12" s="3">
        <v>15</v>
      </c>
      <c r="K12" s="3">
        <v>26</v>
      </c>
      <c r="L12" s="21">
        <v>26</v>
      </c>
      <c r="N12" s="20">
        <v>10</v>
      </c>
      <c r="O12" s="3">
        <v>1</v>
      </c>
      <c r="P12" s="3">
        <v>1</v>
      </c>
      <c r="Q12" s="3">
        <v>1</v>
      </c>
      <c r="R12" s="21">
        <v>0</v>
      </c>
      <c r="T12" s="20">
        <v>10</v>
      </c>
      <c r="U12" s="3">
        <v>0</v>
      </c>
      <c r="V12" s="3">
        <v>0</v>
      </c>
      <c r="W12" s="3">
        <v>1</v>
      </c>
      <c r="X12" s="21">
        <v>0</v>
      </c>
    </row>
    <row r="13" spans="1:25" x14ac:dyDescent="0.3">
      <c r="I13" s="69">
        <v>11</v>
      </c>
      <c r="J13" s="70">
        <v>16</v>
      </c>
      <c r="K13" s="70">
        <v>29</v>
      </c>
      <c r="L13" s="72">
        <v>28</v>
      </c>
      <c r="N13" s="20">
        <v>11</v>
      </c>
      <c r="O13" s="3">
        <v>0</v>
      </c>
      <c r="P13" s="3">
        <v>1</v>
      </c>
      <c r="Q13" s="3">
        <v>0</v>
      </c>
      <c r="R13" s="21">
        <v>1</v>
      </c>
      <c r="T13" s="20">
        <v>11</v>
      </c>
      <c r="U13" s="3">
        <v>0</v>
      </c>
      <c r="V13" s="3">
        <v>0</v>
      </c>
      <c r="W13" s="3">
        <v>0</v>
      </c>
      <c r="X13" s="21">
        <v>1</v>
      </c>
      <c r="Y13" s="2"/>
    </row>
    <row r="14" spans="1:25" x14ac:dyDescent="0.3">
      <c r="I14" s="69">
        <v>12</v>
      </c>
      <c r="J14" s="70">
        <v>15</v>
      </c>
      <c r="K14" s="70">
        <v>28</v>
      </c>
      <c r="L14" s="72">
        <v>22</v>
      </c>
      <c r="N14" s="20">
        <v>12</v>
      </c>
      <c r="O14" s="3">
        <v>1</v>
      </c>
      <c r="P14" s="3">
        <v>0</v>
      </c>
      <c r="Q14" s="3">
        <v>1</v>
      </c>
      <c r="R14" s="21">
        <v>0</v>
      </c>
      <c r="T14" s="20">
        <v>12</v>
      </c>
      <c r="U14" s="3">
        <v>1</v>
      </c>
      <c r="V14" s="3">
        <v>0</v>
      </c>
      <c r="W14" s="3">
        <v>0</v>
      </c>
      <c r="X14" s="21">
        <v>0</v>
      </c>
    </row>
    <row r="15" spans="1:25" ht="15" thickBot="1" x14ac:dyDescent="0.35">
      <c r="I15" s="27" t="s">
        <v>8</v>
      </c>
      <c r="J15" s="28">
        <f>AVERAGE(J3:J14)</f>
        <v>14.916666666666666</v>
      </c>
      <c r="K15" s="28">
        <f>AVERAGE(K3:K14)</f>
        <v>26.416666666666668</v>
      </c>
      <c r="L15" s="29">
        <f>AVERAGE(L3:L14)</f>
        <v>26.333333333333332</v>
      </c>
      <c r="N15" s="22" t="s">
        <v>9</v>
      </c>
      <c r="O15" s="92">
        <f>AVERAGE(O3:O14)</f>
        <v>0.91666666666666663</v>
      </c>
      <c r="P15" s="92">
        <f>AVERAGE(P3:P14)</f>
        <v>0.25</v>
      </c>
      <c r="Q15" s="92">
        <f>AVERAGE(Q3:Q14)</f>
        <v>0.75</v>
      </c>
      <c r="R15" s="93">
        <f>AVERAGE(R3:R14)</f>
        <v>0.66666666666666663</v>
      </c>
      <c r="S15" s="2"/>
      <c r="T15" s="22" t="s">
        <v>9</v>
      </c>
      <c r="U15" s="92">
        <f>AVERAGE(U3:U14)</f>
        <v>0.41666666666666669</v>
      </c>
      <c r="V15" s="92">
        <f>AVERAGE(V3:V14)</f>
        <v>8.3333333333333329E-2</v>
      </c>
      <c r="W15" s="92">
        <f>AVERAGE(W3:W14)</f>
        <v>0.41666666666666669</v>
      </c>
      <c r="X15" s="23">
        <f>AVERAGE(X3:X14)</f>
        <v>0.5</v>
      </c>
    </row>
    <row r="16" spans="1:25" ht="15" thickBot="1" x14ac:dyDescent="0.35">
      <c r="A16" s="17"/>
      <c r="B16" s="18" t="s">
        <v>7</v>
      </c>
      <c r="C16" s="33" t="s">
        <v>4</v>
      </c>
      <c r="D16" s="18" t="s">
        <v>5</v>
      </c>
      <c r="E16" s="19" t="s">
        <v>6</v>
      </c>
      <c r="N16" s="24" t="s">
        <v>10</v>
      </c>
      <c r="O16" s="25">
        <f>_xlfn.MODE.SNGL(O3:O14)</f>
        <v>1</v>
      </c>
      <c r="P16" s="25">
        <f>_xlfn.MODE.SNGL(P3:P14)</f>
        <v>0</v>
      </c>
      <c r="Q16" s="25">
        <f>_xlfn.MODE.SNGL(Q3:Q14)</f>
        <v>1</v>
      </c>
      <c r="R16" s="26">
        <f>_xlfn.MODE.SNGL(R3:R14)</f>
        <v>1</v>
      </c>
      <c r="T16" s="24" t="s">
        <v>10</v>
      </c>
      <c r="U16" s="25">
        <f>_xlfn.MODE.SNGL(U3:U14)</f>
        <v>0</v>
      </c>
      <c r="V16" s="25">
        <f>_xlfn.MODE.SNGL(V3:V14)</f>
        <v>0</v>
      </c>
      <c r="W16" s="25">
        <f t="shared" ref="W16:X16" si="0">_xlfn.MODE.SNGL(W3:W14)</f>
        <v>0</v>
      </c>
      <c r="X16" s="25">
        <f t="shared" si="0"/>
        <v>0</v>
      </c>
    </row>
    <row r="17" spans="1:24" x14ac:dyDescent="0.3">
      <c r="A17" s="20" t="s">
        <v>11</v>
      </c>
      <c r="B17" s="13">
        <v>1.4930555555555556E-3</v>
      </c>
      <c r="C17" s="13">
        <v>1.6435185185185183E-3</v>
      </c>
      <c r="D17" s="13">
        <v>2.0949074074074073E-3</v>
      </c>
      <c r="E17" s="34">
        <v>2.0486111111111113E-3</v>
      </c>
      <c r="N17" s="62" t="s">
        <v>12</v>
      </c>
      <c r="O17" s="62">
        <f>_xlfn.STDEV.S(O3:O14)</f>
        <v>0.66855792342152143</v>
      </c>
      <c r="P17" s="62">
        <f>_xlfn.STDEV.S(P3:P14)</f>
        <v>0.45226701686664544</v>
      </c>
      <c r="Q17" s="62">
        <f>_xlfn.STDEV.S(Q3:Q14)</f>
        <v>0.75377836144440913</v>
      </c>
      <c r="R17" s="62">
        <f>_xlfn.STDEV.S(R3:R14)</f>
        <v>0.49236596391733095</v>
      </c>
      <c r="S17" s="62"/>
      <c r="T17" s="62" t="s">
        <v>12</v>
      </c>
      <c r="U17" s="62">
        <f>_xlfn.STDEV.S(U3:U14)</f>
        <v>0.51492865054443726</v>
      </c>
      <c r="V17" s="62">
        <f>_xlfn.STDEV.S(V3:V14)</f>
        <v>0.28867513459481287</v>
      </c>
      <c r="W17" s="62">
        <f>_xlfn.STDEV.S(W3:W14)</f>
        <v>0.66855792342152143</v>
      </c>
      <c r="X17" s="62">
        <f>_xlfn.STDEV.S(X3:X14)</f>
        <v>0.67419986246324204</v>
      </c>
    </row>
    <row r="18" spans="1:24" x14ac:dyDescent="0.3">
      <c r="A18" s="20"/>
      <c r="B18" s="13">
        <v>2.1874999999999998E-3</v>
      </c>
      <c r="C18" s="13">
        <v>1.4120370370370369E-3</v>
      </c>
      <c r="D18" s="13">
        <v>1.8171296296296297E-3</v>
      </c>
      <c r="E18" s="34">
        <v>1.3888888888888889E-3</v>
      </c>
      <c r="H18" s="57" t="s">
        <v>13</v>
      </c>
      <c r="N18" s="63" t="s">
        <v>14</v>
      </c>
      <c r="O18" s="63">
        <f>O17/SQRT(COUNT(O3:O14))</f>
        <v>0.19299604852813632</v>
      </c>
      <c r="P18" s="63">
        <f>P17/SQRT(COUNT(P3:P14))</f>
        <v>0.1305582419667734</v>
      </c>
      <c r="Q18" s="63">
        <f>Q17/SQRT(COUNT(Q3:Q14))</f>
        <v>0.21759706994462233</v>
      </c>
      <c r="R18" s="63">
        <f>R17/SQRT(COUNT(R3:R14))</f>
        <v>0.1421338109037403</v>
      </c>
      <c r="S18" s="63"/>
      <c r="T18" s="63" t="s">
        <v>14</v>
      </c>
      <c r="U18" s="63">
        <f>U17/SQRT(COUNT(U3:U14))</f>
        <v>0.1486470975026408</v>
      </c>
      <c r="V18" s="63">
        <f>V17/SQRT(COUNT(V3:V14))</f>
        <v>8.3333333333333329E-2</v>
      </c>
      <c r="W18" s="63">
        <f>W17/SQRT(COUNT(W3:W14))</f>
        <v>0.19299604852813632</v>
      </c>
      <c r="X18" s="63">
        <f>X17/SQRT(COUNT(X3:X14))</f>
        <v>0.19462473604038075</v>
      </c>
    </row>
    <row r="19" spans="1:24" x14ac:dyDescent="0.3">
      <c r="A19" s="20"/>
      <c r="B19" s="13">
        <v>1.3310185185185185E-3</v>
      </c>
      <c r="C19" s="13">
        <v>1.4004629629629629E-3</v>
      </c>
      <c r="D19" s="3"/>
      <c r="E19" s="21"/>
      <c r="G19" s="3" t="s">
        <v>3</v>
      </c>
      <c r="H19" s="3" t="s">
        <v>11</v>
      </c>
      <c r="I19" s="3" t="s">
        <v>15</v>
      </c>
      <c r="J19" s="3" t="s">
        <v>16</v>
      </c>
      <c r="K19" s="3" t="s">
        <v>17</v>
      </c>
      <c r="L19" s="3" t="s">
        <v>18</v>
      </c>
      <c r="M19" s="3" t="s">
        <v>19</v>
      </c>
    </row>
    <row r="20" spans="1:24" ht="15" thickBot="1" x14ac:dyDescent="0.35">
      <c r="A20" s="27" t="s">
        <v>9</v>
      </c>
      <c r="B20" s="32">
        <f>AVERAGE(B17:B19)</f>
        <v>1.6705246913580245E-3</v>
      </c>
      <c r="C20" s="32">
        <f>AVERAGE(C17:C19)</f>
        <v>1.4853395061728393E-3</v>
      </c>
      <c r="D20" s="32">
        <f>AVERAGE(D17:D19)</f>
        <v>1.9560185185185184E-3</v>
      </c>
      <c r="E20" s="35">
        <f>AVERAGE(E17:E19)</f>
        <v>1.7187500000000002E-3</v>
      </c>
      <c r="G20" s="3">
        <v>1</v>
      </c>
      <c r="H20" s="4" t="s">
        <v>20</v>
      </c>
      <c r="I20" s="5" t="s">
        <v>21</v>
      </c>
      <c r="J20" s="6" t="s">
        <v>22</v>
      </c>
      <c r="K20" s="3" t="s">
        <v>23</v>
      </c>
      <c r="L20" s="3">
        <v>9</v>
      </c>
      <c r="M20" s="3">
        <v>8</v>
      </c>
    </row>
    <row r="21" spans="1:24" ht="15" thickBot="1" x14ac:dyDescent="0.35">
      <c r="G21" s="3">
        <v>3</v>
      </c>
      <c r="H21" s="5" t="s">
        <v>21</v>
      </c>
      <c r="I21" s="6" t="s">
        <v>22</v>
      </c>
      <c r="J21" s="3" t="s">
        <v>23</v>
      </c>
      <c r="K21" s="4" t="s">
        <v>20</v>
      </c>
      <c r="L21" s="3">
        <v>9</v>
      </c>
      <c r="M21" s="3">
        <v>13</v>
      </c>
    </row>
    <row r="22" spans="1:24" x14ac:dyDescent="0.3">
      <c r="A22" s="17"/>
      <c r="B22" s="18" t="s">
        <v>7</v>
      </c>
      <c r="C22" s="33" t="s">
        <v>4</v>
      </c>
      <c r="D22" s="18" t="s">
        <v>5</v>
      </c>
      <c r="E22" s="19" t="s">
        <v>6</v>
      </c>
      <c r="G22" s="3">
        <v>4</v>
      </c>
      <c r="H22" s="6" t="s">
        <v>22</v>
      </c>
      <c r="I22" s="3" t="s">
        <v>23</v>
      </c>
      <c r="J22" s="4" t="s">
        <v>20</v>
      </c>
      <c r="K22" s="5" t="s">
        <v>21</v>
      </c>
      <c r="L22" s="3">
        <v>9</v>
      </c>
      <c r="M22" s="3">
        <v>10</v>
      </c>
    </row>
    <row r="23" spans="1:24" x14ac:dyDescent="0.3">
      <c r="A23" s="20" t="s">
        <v>15</v>
      </c>
      <c r="B23" s="13">
        <v>1.6435185185185183E-3</v>
      </c>
      <c r="C23" s="13">
        <v>1.2152777777777778E-3</v>
      </c>
      <c r="D23" s="13">
        <v>1.2152777777777778E-3</v>
      </c>
      <c r="E23" s="34">
        <v>1.4583333333333334E-3</v>
      </c>
      <c r="G23" s="3">
        <v>5</v>
      </c>
      <c r="H23" s="3" t="s">
        <v>23</v>
      </c>
      <c r="I23" s="4" t="s">
        <v>20</v>
      </c>
      <c r="J23" s="5" t="s">
        <v>21</v>
      </c>
      <c r="K23" s="6" t="s">
        <v>22</v>
      </c>
      <c r="L23" s="3">
        <v>11</v>
      </c>
      <c r="M23" s="3">
        <v>10</v>
      </c>
    </row>
    <row r="24" spans="1:24" x14ac:dyDescent="0.3">
      <c r="A24" s="20"/>
      <c r="B24" s="13">
        <v>1.5856481481481479E-3</v>
      </c>
      <c r="C24" s="13">
        <v>1.6319444444444445E-3</v>
      </c>
      <c r="D24" s="13">
        <v>1.4351851851851854E-3</v>
      </c>
      <c r="E24" s="34">
        <v>1.5277777777777779E-3</v>
      </c>
      <c r="G24" s="3">
        <v>6</v>
      </c>
      <c r="H24" s="4" t="s">
        <v>24</v>
      </c>
      <c r="I24" s="5" t="s">
        <v>21</v>
      </c>
      <c r="J24" s="6" t="s">
        <v>22</v>
      </c>
      <c r="K24" s="3" t="s">
        <v>23</v>
      </c>
      <c r="L24" s="3">
        <v>9</v>
      </c>
      <c r="M24" s="3">
        <v>8</v>
      </c>
    </row>
    <row r="25" spans="1:24" x14ac:dyDescent="0.3">
      <c r="A25" s="20"/>
      <c r="B25" s="13">
        <v>1.5509259259259261E-3</v>
      </c>
      <c r="C25" s="13">
        <v>1.2731481481481483E-3</v>
      </c>
      <c r="D25" s="3"/>
      <c r="E25" s="21"/>
      <c r="G25" s="3">
        <v>7</v>
      </c>
      <c r="H25" s="5" t="s">
        <v>21</v>
      </c>
      <c r="I25" s="6" t="s">
        <v>22</v>
      </c>
      <c r="J25" s="3" t="s">
        <v>23</v>
      </c>
      <c r="K25" s="4" t="s">
        <v>20</v>
      </c>
      <c r="L25" s="3">
        <v>11</v>
      </c>
      <c r="M25" s="3">
        <v>10</v>
      </c>
    </row>
    <row r="26" spans="1:24" ht="15" thickBot="1" x14ac:dyDescent="0.35">
      <c r="A26" s="27" t="s">
        <v>9</v>
      </c>
      <c r="B26" s="32">
        <f>AVERAGE(B23:B25)</f>
        <v>1.5933641975308642E-3</v>
      </c>
      <c r="C26" s="32">
        <f>AVERAGE(C23:C25)</f>
        <v>1.3734567901234568E-3</v>
      </c>
      <c r="D26" s="32">
        <f>AVERAGE(D23:D25)</f>
        <v>1.3252314814814815E-3</v>
      </c>
      <c r="E26" s="35">
        <f>AVERAGE(E23:E25)</f>
        <v>1.4930555555555556E-3</v>
      </c>
      <c r="G26" s="3">
        <v>8</v>
      </c>
      <c r="H26" s="6" t="s">
        <v>22</v>
      </c>
      <c r="I26" s="3" t="s">
        <v>23</v>
      </c>
      <c r="J26" s="4" t="s">
        <v>20</v>
      </c>
      <c r="K26" s="5" t="s">
        <v>21</v>
      </c>
      <c r="L26" s="3">
        <v>9</v>
      </c>
      <c r="M26" s="3">
        <v>10</v>
      </c>
    </row>
    <row r="27" spans="1:24" ht="15" thickBot="1" x14ac:dyDescent="0.35">
      <c r="G27" s="3">
        <v>9</v>
      </c>
      <c r="H27" s="3" t="s">
        <v>23</v>
      </c>
      <c r="I27" s="4" t="s">
        <v>20</v>
      </c>
      <c r="J27" s="5" t="s">
        <v>21</v>
      </c>
      <c r="K27" s="6" t="s">
        <v>22</v>
      </c>
      <c r="L27" s="3">
        <v>12</v>
      </c>
      <c r="M27" s="3">
        <v>12</v>
      </c>
    </row>
    <row r="28" spans="1:24" x14ac:dyDescent="0.3">
      <c r="A28" s="17"/>
      <c r="B28" s="18" t="s">
        <v>7</v>
      </c>
      <c r="C28" s="33" t="s">
        <v>4</v>
      </c>
      <c r="D28" s="18" t="s">
        <v>5</v>
      </c>
      <c r="E28" s="19" t="s">
        <v>6</v>
      </c>
      <c r="G28" s="3">
        <v>10</v>
      </c>
      <c r="H28" s="4" t="s">
        <v>20</v>
      </c>
      <c r="I28" s="5" t="s">
        <v>21</v>
      </c>
      <c r="J28" s="6" t="s">
        <v>22</v>
      </c>
      <c r="K28" s="3" t="s">
        <v>23</v>
      </c>
      <c r="L28" s="3">
        <v>10</v>
      </c>
      <c r="M28" s="3">
        <v>10</v>
      </c>
    </row>
    <row r="29" spans="1:24" x14ac:dyDescent="0.3">
      <c r="A29" s="20" t="s">
        <v>16</v>
      </c>
      <c r="B29" s="13">
        <v>1.4583333333333334E-3</v>
      </c>
      <c r="C29" s="13">
        <v>1.5856481481481479E-3</v>
      </c>
      <c r="D29" s="13">
        <v>1.7708333333333332E-3</v>
      </c>
      <c r="E29" s="34">
        <v>2.1064814814814813E-3</v>
      </c>
      <c r="G29" s="7">
        <v>11</v>
      </c>
      <c r="H29" s="8" t="s">
        <v>21</v>
      </c>
      <c r="I29" s="10" t="s">
        <v>22</v>
      </c>
      <c r="J29" s="7" t="s">
        <v>23</v>
      </c>
      <c r="K29" s="9" t="s">
        <v>20</v>
      </c>
      <c r="L29" s="3">
        <v>19</v>
      </c>
      <c r="M29" s="3">
        <v>19</v>
      </c>
    </row>
    <row r="30" spans="1:24" x14ac:dyDescent="0.3">
      <c r="A30" s="20"/>
      <c r="B30" s="13">
        <v>1.423611111111111E-3</v>
      </c>
      <c r="C30" s="13">
        <v>1.5509259259259261E-3</v>
      </c>
      <c r="D30" s="13">
        <v>2.5347222222222221E-3</v>
      </c>
      <c r="E30" s="34">
        <v>1.8171296296296297E-3</v>
      </c>
      <c r="G30" s="7">
        <v>12</v>
      </c>
      <c r="H30" s="10" t="s">
        <v>22</v>
      </c>
      <c r="I30" s="7" t="s">
        <v>23</v>
      </c>
      <c r="J30" s="9" t="s">
        <v>20</v>
      </c>
      <c r="K30" s="8" t="s">
        <v>21</v>
      </c>
      <c r="L30" s="3">
        <v>15</v>
      </c>
      <c r="M30" s="3">
        <v>15</v>
      </c>
    </row>
    <row r="31" spans="1:24" x14ac:dyDescent="0.3">
      <c r="A31" s="20"/>
      <c r="B31" s="3"/>
      <c r="C31" s="3"/>
      <c r="D31" s="13">
        <v>1.9675925925925928E-3</v>
      </c>
      <c r="E31" s="21"/>
      <c r="G31" s="7">
        <v>2</v>
      </c>
      <c r="H31" s="8" t="s">
        <v>21</v>
      </c>
      <c r="I31" s="9" t="s">
        <v>20</v>
      </c>
      <c r="J31" s="10" t="s">
        <v>22</v>
      </c>
      <c r="K31" s="7" t="s">
        <v>23</v>
      </c>
      <c r="L31" s="3">
        <v>14</v>
      </c>
      <c r="M31" s="3">
        <v>16</v>
      </c>
    </row>
    <row r="32" spans="1:24" ht="15" thickBot="1" x14ac:dyDescent="0.35">
      <c r="A32" s="20"/>
      <c r="B32" s="3"/>
      <c r="C32" s="3"/>
      <c r="D32" s="13">
        <v>1.6319444444444445E-3</v>
      </c>
      <c r="E32" s="21"/>
      <c r="K32" s="2" t="s">
        <v>25</v>
      </c>
      <c r="L32" s="2">
        <f>AVERAGE(L20:L31)</f>
        <v>11.416666666666666</v>
      </c>
      <c r="M32" s="2">
        <f>AVERAGE(M20:M31)</f>
        <v>11.75</v>
      </c>
    </row>
    <row r="33" spans="1:13" ht="15" thickBot="1" x14ac:dyDescent="0.35">
      <c r="A33" s="27" t="s">
        <v>9</v>
      </c>
      <c r="B33" s="32">
        <f>AVERAGE(B29:B30)</f>
        <v>1.4409722222222222E-3</v>
      </c>
      <c r="C33" s="32">
        <f>AVERAGE(C29:C30)</f>
        <v>1.5682870370370369E-3</v>
      </c>
      <c r="D33" s="32">
        <f>AVERAGE(D29:D32)</f>
        <v>1.976273148148148E-3</v>
      </c>
      <c r="E33" s="35">
        <f>AVERAGE(E29:E30)</f>
        <v>1.9618055555555556E-3</v>
      </c>
      <c r="H33" s="45" t="s">
        <v>26</v>
      </c>
      <c r="K33" s="62" t="s">
        <v>27</v>
      </c>
      <c r="L33" s="62">
        <f>_xlfn.STDEV.P(L20:L31)</f>
        <v>3.0127045804208699</v>
      </c>
      <c r="M33" s="62">
        <f>_xlfn.STDEV.P(M20:M31)</f>
        <v>3.2435834093380942</v>
      </c>
    </row>
    <row r="34" spans="1:13" ht="15" thickBot="1" x14ac:dyDescent="0.35">
      <c r="A34" s="2"/>
      <c r="B34" s="15"/>
      <c r="C34" s="15"/>
      <c r="D34" s="15"/>
      <c r="E34" s="15"/>
      <c r="H34" s="46" t="s">
        <v>28</v>
      </c>
      <c r="K34" s="63" t="s">
        <v>29</v>
      </c>
      <c r="L34" s="63">
        <f>L33/SQRT(COUNT(L20:L31))</f>
        <v>0.86969290024740398</v>
      </c>
      <c r="M34" s="63">
        <f>M33/SQRT(COUNT(M20:M31))</f>
        <v>0.93634187726017648</v>
      </c>
    </row>
    <row r="35" spans="1:13" x14ac:dyDescent="0.3">
      <c r="A35" s="17"/>
      <c r="B35" s="18" t="s">
        <v>7</v>
      </c>
      <c r="C35" s="33" t="s">
        <v>4</v>
      </c>
      <c r="D35" s="18" t="s">
        <v>5</v>
      </c>
      <c r="E35" s="19" t="s">
        <v>6</v>
      </c>
      <c r="H35" s="47" t="s">
        <v>30</v>
      </c>
      <c r="J35" s="11"/>
    </row>
    <row r="36" spans="1:13" ht="15" thickBot="1" x14ac:dyDescent="0.35">
      <c r="A36" s="20" t="s">
        <v>17</v>
      </c>
      <c r="B36" s="13">
        <v>1.5046296296296294E-3</v>
      </c>
      <c r="C36" s="13">
        <v>1.3425925925925925E-3</v>
      </c>
      <c r="D36" s="13">
        <v>1.3657407407407409E-3</v>
      </c>
      <c r="E36" s="34">
        <v>2.1527777777777778E-3</v>
      </c>
      <c r="H36" s="48" t="s">
        <v>31</v>
      </c>
    </row>
    <row r="37" spans="1:13" x14ac:dyDescent="0.3">
      <c r="A37" s="20"/>
      <c r="B37" s="13">
        <v>2.0023148148148148E-3</v>
      </c>
      <c r="C37" s="13">
        <v>1.5277777777777779E-3</v>
      </c>
      <c r="D37" s="13">
        <v>1.6203703703703703E-3</v>
      </c>
      <c r="E37" s="34">
        <v>2.0486111111111113E-3</v>
      </c>
    </row>
    <row r="38" spans="1:13" x14ac:dyDescent="0.3">
      <c r="A38" s="20"/>
      <c r="B38" s="3"/>
      <c r="C38" s="3"/>
      <c r="D38" s="3"/>
      <c r="E38" s="34">
        <v>1.6203703703703703E-3</v>
      </c>
    </row>
    <row r="39" spans="1:13" x14ac:dyDescent="0.3">
      <c r="A39" s="20"/>
      <c r="B39" s="3"/>
      <c r="C39" s="3"/>
      <c r="D39" s="3"/>
      <c r="E39" s="34">
        <v>1.7476851851851852E-3</v>
      </c>
    </row>
    <row r="40" spans="1:13" ht="15" thickBot="1" x14ac:dyDescent="0.35">
      <c r="A40" s="27" t="s">
        <v>9</v>
      </c>
      <c r="B40" s="32">
        <f>AVERAGE(B36:B37)</f>
        <v>1.7534722222222222E-3</v>
      </c>
      <c r="C40" s="32">
        <f>AVERAGE(C36:C37)</f>
        <v>1.4351851851851852E-3</v>
      </c>
      <c r="D40" s="32">
        <f>AVERAGE(D36:D37)</f>
        <v>1.4930555555555556E-3</v>
      </c>
      <c r="E40" s="35">
        <f>AVERAGE(E36:E39)</f>
        <v>1.8923611111111112E-3</v>
      </c>
    </row>
    <row r="41" spans="1:13" ht="15" thickBot="1" x14ac:dyDescent="0.35">
      <c r="C41" s="1"/>
    </row>
    <row r="42" spans="1:13" x14ac:dyDescent="0.3">
      <c r="A42" s="36"/>
      <c r="B42" s="37"/>
      <c r="C42" s="37" t="s">
        <v>32</v>
      </c>
      <c r="D42" s="37"/>
      <c r="E42" s="37"/>
      <c r="F42" s="30"/>
    </row>
    <row r="43" spans="1:13" x14ac:dyDescent="0.3">
      <c r="A43" s="20"/>
      <c r="B43" s="3" t="s">
        <v>7</v>
      </c>
      <c r="C43" s="12" t="s">
        <v>4</v>
      </c>
      <c r="D43" s="3" t="s">
        <v>5</v>
      </c>
      <c r="E43" s="3" t="s">
        <v>6</v>
      </c>
      <c r="F43" s="23" t="s">
        <v>9</v>
      </c>
    </row>
    <row r="44" spans="1:13" x14ac:dyDescent="0.3">
      <c r="A44" s="20" t="s">
        <v>11</v>
      </c>
      <c r="B44" s="16">
        <v>1.6705246913580245E-3</v>
      </c>
      <c r="C44" s="16">
        <v>1.4853395061728393E-3</v>
      </c>
      <c r="D44" s="16">
        <v>1.9560185185185184E-3</v>
      </c>
      <c r="E44" s="16">
        <v>1.7187500000000002E-3</v>
      </c>
      <c r="F44" s="31">
        <f>AVERAGE(B44:E44)</f>
        <v>1.7076581790123457E-3</v>
      </c>
    </row>
    <row r="45" spans="1:13" ht="15" thickBot="1" x14ac:dyDescent="0.35">
      <c r="A45" s="20" t="s">
        <v>15</v>
      </c>
      <c r="B45" s="16">
        <v>1.5933641975308642E-3</v>
      </c>
      <c r="C45" s="16">
        <v>1.3734567901234568E-3</v>
      </c>
      <c r="D45" s="16">
        <v>1.3252314814814815E-3</v>
      </c>
      <c r="E45" s="16">
        <v>1.4930555555555556E-3</v>
      </c>
      <c r="F45" s="31">
        <f>AVERAGE(B45:E45)</f>
        <v>1.4462770061728395E-3</v>
      </c>
    </row>
    <row r="46" spans="1:13" x14ac:dyDescent="0.3">
      <c r="A46" s="20" t="s">
        <v>16</v>
      </c>
      <c r="B46" s="16">
        <v>1.4409722222222222E-3</v>
      </c>
      <c r="C46" s="16">
        <v>1.5682870370370369E-3</v>
      </c>
      <c r="D46" s="16">
        <v>1.976273148148148E-3</v>
      </c>
      <c r="E46" s="16">
        <v>1.9618055555555556E-3</v>
      </c>
      <c r="F46" s="31">
        <f>AVERAGE(B46:E46)</f>
        <v>1.7368344907407406E-3</v>
      </c>
      <c r="H46" s="58" t="s">
        <v>33</v>
      </c>
    </row>
    <row r="47" spans="1:13" x14ac:dyDescent="0.3">
      <c r="A47" s="20" t="s">
        <v>17</v>
      </c>
      <c r="B47" s="16">
        <v>1.7534722222222222E-3</v>
      </c>
      <c r="C47" s="16">
        <v>1.4351851851851852E-3</v>
      </c>
      <c r="D47" s="16">
        <v>1.4930555555555556E-3</v>
      </c>
      <c r="E47" s="16">
        <v>1.8923611111111112E-3</v>
      </c>
      <c r="F47" s="31">
        <f>AVERAGE(B47:E47)</f>
        <v>1.6435185185185185E-3</v>
      </c>
      <c r="H47" s="59" t="s">
        <v>34</v>
      </c>
    </row>
    <row r="48" spans="1:13" ht="15" thickBot="1" x14ac:dyDescent="0.35">
      <c r="A48" s="27" t="s">
        <v>9</v>
      </c>
      <c r="B48" s="32">
        <f>AVERAGE(B44:B47)</f>
        <v>1.6145833333333333E-3</v>
      </c>
      <c r="C48" s="32">
        <f t="shared" ref="C48:E48" si="1">AVERAGE(C44:C47)</f>
        <v>1.4655671296296296E-3</v>
      </c>
      <c r="D48" s="32">
        <f t="shared" si="1"/>
        <v>1.687644675925926E-3</v>
      </c>
      <c r="E48" s="32">
        <f t="shared" si="1"/>
        <v>1.7664930555555557E-3</v>
      </c>
      <c r="F48" s="38"/>
      <c r="H48" s="59" t="s">
        <v>35</v>
      </c>
    </row>
    <row r="49" spans="8:8" ht="15" thickBot="1" x14ac:dyDescent="0.35">
      <c r="H49" s="48" t="s">
        <v>36</v>
      </c>
    </row>
    <row r="86" spans="1:10" ht="15" thickBot="1" x14ac:dyDescent="0.35"/>
    <row r="87" spans="1:10" x14ac:dyDescent="0.3">
      <c r="A87" s="17"/>
      <c r="B87" s="18"/>
      <c r="C87" s="44" t="s">
        <v>37</v>
      </c>
      <c r="D87" s="18"/>
      <c r="E87" s="18"/>
      <c r="F87" s="18"/>
      <c r="G87" s="18"/>
      <c r="H87" s="18"/>
      <c r="I87" s="18"/>
      <c r="J87" s="19"/>
    </row>
    <row r="88" spans="1:10" x14ac:dyDescent="0.3">
      <c r="A88" s="20" t="s">
        <v>3</v>
      </c>
      <c r="B88" s="3" t="s">
        <v>7</v>
      </c>
      <c r="C88" s="12" t="s">
        <v>4</v>
      </c>
      <c r="D88" s="3" t="s">
        <v>5</v>
      </c>
      <c r="E88" s="3" t="s">
        <v>6</v>
      </c>
      <c r="F88" s="14" t="s">
        <v>9</v>
      </c>
      <c r="G88" s="3" t="s">
        <v>7</v>
      </c>
      <c r="H88" s="3" t="s">
        <v>4</v>
      </c>
      <c r="I88" s="3" t="s">
        <v>5</v>
      </c>
      <c r="J88" s="21" t="s">
        <v>6</v>
      </c>
    </row>
    <row r="89" spans="1:10" x14ac:dyDescent="0.3">
      <c r="A89" s="20">
        <v>1</v>
      </c>
      <c r="B89" s="13">
        <v>1.4930555555555556E-3</v>
      </c>
      <c r="C89" s="13">
        <v>1.2152777777777778E-3</v>
      </c>
      <c r="D89" s="13">
        <v>1.7708333333333332E-3</v>
      </c>
      <c r="E89" s="13">
        <v>2.1527777777777778E-3</v>
      </c>
      <c r="F89" s="61">
        <f t="shared" ref="F89:F98" si="2">AVERAGE(B89:E89)</f>
        <v>1.6579861111111112E-3</v>
      </c>
      <c r="G89" s="3">
        <f t="shared" ref="G89:G100" si="3">HOUR(B89)*3600 + MINUTE(B89)*60 + SECOND(B89)</f>
        <v>129</v>
      </c>
      <c r="H89" s="3">
        <f t="shared" ref="H89:H100" si="4">HOUR(C89)*3600 + MINUTE(C89)*60 + SECOND(C89)</f>
        <v>105</v>
      </c>
      <c r="I89" s="3">
        <f t="shared" ref="I89:I100" si="5">HOUR(D89)*3600 + MINUTE(D89)*60 + SECOND(D89)</f>
        <v>153</v>
      </c>
      <c r="J89" s="21">
        <f t="shared" ref="J89:J100" si="6">HOUR(E89)*3600 + MINUTE(E89)*60 + SECOND(E89)</f>
        <v>186</v>
      </c>
    </row>
    <row r="90" spans="1:10" x14ac:dyDescent="0.3">
      <c r="A90" s="20">
        <v>2</v>
      </c>
      <c r="B90" s="13">
        <v>1.6087962962962963E-3</v>
      </c>
      <c r="C90" s="13">
        <v>1.6435185185185183E-3</v>
      </c>
      <c r="D90" s="13">
        <v>2.5347222222222221E-3</v>
      </c>
      <c r="E90" s="13">
        <v>2.0486111111111113E-3</v>
      </c>
      <c r="F90" s="61">
        <f t="shared" si="2"/>
        <v>1.9589120370370368E-3</v>
      </c>
      <c r="G90" s="3">
        <f t="shared" si="3"/>
        <v>139</v>
      </c>
      <c r="H90" s="3">
        <f t="shared" si="4"/>
        <v>142</v>
      </c>
      <c r="I90" s="3">
        <f t="shared" si="5"/>
        <v>219</v>
      </c>
      <c r="J90" s="21">
        <f t="shared" si="6"/>
        <v>177</v>
      </c>
    </row>
    <row r="91" spans="1:10" x14ac:dyDescent="0.3">
      <c r="A91" s="20">
        <v>3</v>
      </c>
      <c r="B91" s="13">
        <v>1.5046296296296294E-3</v>
      </c>
      <c r="C91" s="13">
        <v>1.4120370370370369E-3</v>
      </c>
      <c r="D91" s="13">
        <v>1.2152777777777778E-3</v>
      </c>
      <c r="E91" s="13">
        <v>2.1064814814814813E-3</v>
      </c>
      <c r="F91" s="61">
        <f t="shared" si="2"/>
        <v>1.5596064814814813E-3</v>
      </c>
      <c r="G91" s="3">
        <f t="shared" si="3"/>
        <v>130</v>
      </c>
      <c r="H91" s="3">
        <f t="shared" si="4"/>
        <v>122</v>
      </c>
      <c r="I91" s="3">
        <f t="shared" si="5"/>
        <v>105</v>
      </c>
      <c r="J91" s="21">
        <f t="shared" si="6"/>
        <v>182</v>
      </c>
    </row>
    <row r="92" spans="1:10" x14ac:dyDescent="0.3">
      <c r="A92" s="20">
        <v>4</v>
      </c>
      <c r="B92" s="13">
        <v>1.4583333333333334E-3</v>
      </c>
      <c r="C92" s="13">
        <v>1.3425925925925925E-3</v>
      </c>
      <c r="D92" s="13">
        <v>2.0949074074074073E-3</v>
      </c>
      <c r="E92" s="13">
        <v>1.4583333333333334E-3</v>
      </c>
      <c r="F92" s="61">
        <f t="shared" si="2"/>
        <v>1.5885416666666667E-3</v>
      </c>
      <c r="G92" s="3">
        <f t="shared" si="3"/>
        <v>126</v>
      </c>
      <c r="H92" s="3">
        <f t="shared" si="4"/>
        <v>116</v>
      </c>
      <c r="I92" s="3">
        <f t="shared" si="5"/>
        <v>181</v>
      </c>
      <c r="J92" s="21">
        <f t="shared" si="6"/>
        <v>126</v>
      </c>
    </row>
    <row r="93" spans="1:10" x14ac:dyDescent="0.3">
      <c r="A93" s="20">
        <v>5</v>
      </c>
      <c r="B93" s="13">
        <v>1.2962962962962963E-3</v>
      </c>
      <c r="C93" s="13">
        <v>1.5856481481481479E-3</v>
      </c>
      <c r="D93" s="13">
        <v>1.3657407407407409E-3</v>
      </c>
      <c r="E93" s="13">
        <v>2.0486111111111113E-3</v>
      </c>
      <c r="F93" s="61">
        <f t="shared" si="2"/>
        <v>1.5740740740740741E-3</v>
      </c>
      <c r="G93" s="3">
        <f t="shared" si="3"/>
        <v>112</v>
      </c>
      <c r="H93" s="3">
        <f t="shared" si="4"/>
        <v>137</v>
      </c>
      <c r="I93" s="3">
        <f t="shared" si="5"/>
        <v>118</v>
      </c>
      <c r="J93" s="21">
        <f t="shared" si="6"/>
        <v>177</v>
      </c>
    </row>
    <row r="94" spans="1:10" x14ac:dyDescent="0.3">
      <c r="A94" s="20">
        <v>6</v>
      </c>
      <c r="B94" s="13">
        <v>2.1874999999999998E-3</v>
      </c>
      <c r="C94" s="13">
        <v>1.6319444444444445E-3</v>
      </c>
      <c r="D94" s="13">
        <v>1.9675925925925928E-3</v>
      </c>
      <c r="E94" s="13">
        <v>1.6203703703703703E-3</v>
      </c>
      <c r="F94" s="61">
        <f t="shared" si="2"/>
        <v>1.8518518518518517E-3</v>
      </c>
      <c r="G94" s="3">
        <f t="shared" si="3"/>
        <v>189</v>
      </c>
      <c r="H94" s="3">
        <f t="shared" si="4"/>
        <v>141</v>
      </c>
      <c r="I94" s="3">
        <f t="shared" si="5"/>
        <v>170</v>
      </c>
      <c r="J94" s="21">
        <f t="shared" si="6"/>
        <v>140</v>
      </c>
    </row>
    <row r="95" spans="1:10" x14ac:dyDescent="0.3">
      <c r="A95" s="20">
        <v>7</v>
      </c>
      <c r="B95" s="13">
        <v>2.0023148148148148E-3</v>
      </c>
      <c r="C95" s="13">
        <v>1.4004629629629629E-3</v>
      </c>
      <c r="D95" s="13">
        <v>1.4351851851851854E-3</v>
      </c>
      <c r="E95" s="13">
        <v>1.8171296296296297E-3</v>
      </c>
      <c r="F95" s="61">
        <f t="shared" si="2"/>
        <v>1.6637731481481482E-3</v>
      </c>
      <c r="G95" s="3">
        <f t="shared" si="3"/>
        <v>173</v>
      </c>
      <c r="H95" s="3">
        <f t="shared" si="4"/>
        <v>121</v>
      </c>
      <c r="I95" s="3">
        <f t="shared" si="5"/>
        <v>124</v>
      </c>
      <c r="J95" s="21">
        <f t="shared" si="6"/>
        <v>157</v>
      </c>
    </row>
    <row r="96" spans="1:10" x14ac:dyDescent="0.3">
      <c r="A96" s="20">
        <v>8</v>
      </c>
      <c r="B96" s="13">
        <v>1.423611111111111E-3</v>
      </c>
      <c r="C96" s="13">
        <v>1.5277777777777779E-3</v>
      </c>
      <c r="D96" s="13">
        <v>1.8171296296296297E-3</v>
      </c>
      <c r="E96" s="13">
        <v>1.5277777777777779E-3</v>
      </c>
      <c r="F96" s="61">
        <f t="shared" si="2"/>
        <v>1.5740740740740741E-3</v>
      </c>
      <c r="G96" s="3">
        <f t="shared" si="3"/>
        <v>123</v>
      </c>
      <c r="H96" s="3">
        <f t="shared" si="4"/>
        <v>132</v>
      </c>
      <c r="I96" s="3">
        <f t="shared" si="5"/>
        <v>157</v>
      </c>
      <c r="J96" s="21">
        <f t="shared" si="6"/>
        <v>132</v>
      </c>
    </row>
    <row r="97" spans="1:11" x14ac:dyDescent="0.3">
      <c r="A97" s="20">
        <v>9</v>
      </c>
      <c r="B97" s="13">
        <v>1.0648148148148147E-3</v>
      </c>
      <c r="C97" s="13">
        <v>1.5509259259259261E-3</v>
      </c>
      <c r="D97" s="13">
        <v>1.6203703703703703E-3</v>
      </c>
      <c r="E97" s="13">
        <v>1.3888888888888889E-3</v>
      </c>
      <c r="F97" s="61">
        <f t="shared" si="2"/>
        <v>1.4062499999999999E-3</v>
      </c>
      <c r="G97" s="3">
        <f t="shared" si="3"/>
        <v>92</v>
      </c>
      <c r="H97" s="3">
        <f t="shared" si="4"/>
        <v>134</v>
      </c>
      <c r="I97" s="3">
        <f t="shared" si="5"/>
        <v>140</v>
      </c>
      <c r="J97" s="21">
        <f t="shared" si="6"/>
        <v>120</v>
      </c>
    </row>
    <row r="98" spans="1:11" x14ac:dyDescent="0.3">
      <c r="A98" s="20">
        <v>10</v>
      </c>
      <c r="B98" s="13">
        <v>1.3310185185185185E-3</v>
      </c>
      <c r="C98" s="13">
        <v>1.2731481481481483E-3</v>
      </c>
      <c r="D98" s="13">
        <v>1.6319444444444445E-3</v>
      </c>
      <c r="E98" s="13">
        <v>1.7476851851851852E-3</v>
      </c>
      <c r="F98" s="61">
        <f t="shared" si="2"/>
        <v>1.4959490740740742E-3</v>
      </c>
      <c r="G98" s="3">
        <f t="shared" si="3"/>
        <v>115</v>
      </c>
      <c r="H98" s="3">
        <f t="shared" si="4"/>
        <v>110</v>
      </c>
      <c r="I98" s="3">
        <f t="shared" si="5"/>
        <v>141</v>
      </c>
      <c r="J98" s="21">
        <f t="shared" si="6"/>
        <v>151</v>
      </c>
    </row>
    <row r="99" spans="1:11" x14ac:dyDescent="0.3">
      <c r="A99" s="20">
        <v>11</v>
      </c>
      <c r="B99" s="13">
        <v>1.0416666666666667E-3</v>
      </c>
      <c r="C99" s="13">
        <v>1.3194444444444443E-3</v>
      </c>
      <c r="D99" s="13">
        <v>1.3541666666666667E-3</v>
      </c>
      <c r="E99" s="13">
        <v>1.8518518518518517E-3</v>
      </c>
      <c r="F99" s="61">
        <f>AVERAGE(B99:E99)</f>
        <v>1.3917824074074073E-3</v>
      </c>
      <c r="G99" s="3">
        <f t="shared" si="3"/>
        <v>90</v>
      </c>
      <c r="H99" s="3">
        <f t="shared" si="4"/>
        <v>114</v>
      </c>
      <c r="I99" s="3">
        <f t="shared" si="5"/>
        <v>117</v>
      </c>
      <c r="J99" s="3">
        <f t="shared" si="6"/>
        <v>160</v>
      </c>
      <c r="K99" t="s">
        <v>38</v>
      </c>
    </row>
    <row r="100" spans="1:11" x14ac:dyDescent="0.3">
      <c r="A100" s="20">
        <v>12</v>
      </c>
      <c r="B100" s="13">
        <v>1.4930555555555556E-3</v>
      </c>
      <c r="C100" s="13">
        <v>1.2847222222222223E-3</v>
      </c>
      <c r="D100" s="13">
        <v>1.3078703703703705E-3</v>
      </c>
      <c r="E100" s="13">
        <v>1.4583333333333334E-3</v>
      </c>
      <c r="F100" s="61">
        <f>AVERAGE(B100:E100)</f>
        <v>1.3859953703703703E-3</v>
      </c>
      <c r="G100" s="3">
        <f t="shared" si="3"/>
        <v>129</v>
      </c>
      <c r="H100" s="3">
        <f t="shared" si="4"/>
        <v>111</v>
      </c>
      <c r="I100" s="3">
        <f t="shared" si="5"/>
        <v>113</v>
      </c>
      <c r="J100" s="3">
        <f t="shared" si="6"/>
        <v>126</v>
      </c>
    </row>
    <row r="101" spans="1:11" x14ac:dyDescent="0.3">
      <c r="A101" s="22" t="s">
        <v>39</v>
      </c>
      <c r="B101" s="61">
        <f>AVERAGE(B89:B100)</f>
        <v>1.4920910493827161E-3</v>
      </c>
      <c r="C101" s="61">
        <f>AVERAGE(C89:C100)</f>
        <v>1.4322916666666666E-3</v>
      </c>
      <c r="D101" s="61">
        <f>AVERAGE(D89:D100)</f>
        <v>1.6763117283950613E-3</v>
      </c>
      <c r="E101" s="61">
        <f>AVERAGE(E89:E100)</f>
        <v>1.7689043209876542E-3</v>
      </c>
      <c r="F101" s="13"/>
      <c r="G101" s="14">
        <f>AVERAGE(G89:G100)</f>
        <v>128.91666666666666</v>
      </c>
      <c r="H101" s="14">
        <f>AVERAGE(H89:H100)</f>
        <v>123.75</v>
      </c>
      <c r="I101" s="14">
        <f>AVERAGE(I89:I100)</f>
        <v>144.83333333333334</v>
      </c>
      <c r="J101" s="23">
        <f>AVERAGE(J89:J100)</f>
        <v>152.83333333333334</v>
      </c>
    </row>
    <row r="102" spans="1:11" x14ac:dyDescent="0.3">
      <c r="A102" s="20"/>
      <c r="B102" s="3"/>
      <c r="C102" s="3"/>
      <c r="D102" s="3"/>
      <c r="E102" s="3"/>
      <c r="F102" s="64" t="s">
        <v>27</v>
      </c>
      <c r="G102" s="64">
        <f>_xlfn.STDEV.S(G89:G100)</f>
        <v>28.694181650746895</v>
      </c>
      <c r="H102" s="64">
        <f t="shared" ref="H102:J102" si="7">_xlfn.STDEV.S(H89:H100)</f>
        <v>12.962358090745962</v>
      </c>
      <c r="I102" s="64">
        <f t="shared" si="7"/>
        <v>33.33530297211086</v>
      </c>
      <c r="J102" s="64">
        <f t="shared" si="7"/>
        <v>23.946278258306535</v>
      </c>
    </row>
    <row r="103" spans="1:11" ht="15" thickBot="1" x14ac:dyDescent="0.35">
      <c r="A103" s="65"/>
      <c r="B103" s="66"/>
      <c r="C103" s="66"/>
      <c r="D103" s="66"/>
      <c r="E103" s="66"/>
      <c r="F103" s="67" t="s">
        <v>40</v>
      </c>
      <c r="G103" s="67">
        <f>G102/SQRT(COUNT(G89:G100))</f>
        <v>8.2832967501173709</v>
      </c>
      <c r="H103" s="67">
        <f>H102/SQRT(COUNT(H89:H101))</f>
        <v>3.5951112882392358</v>
      </c>
      <c r="I103" s="67">
        <f>I102/SQRT(COUNT(I89:I101))</f>
        <v>9.2455495499286791</v>
      </c>
      <c r="J103" s="68">
        <f>J102/SQRT(COUNT(J89:J100))</f>
        <v>6.9126950992614811</v>
      </c>
    </row>
    <row r="111" spans="1:11" ht="15" thickBot="1" x14ac:dyDescent="0.35"/>
    <row r="112" spans="1:11" x14ac:dyDescent="0.3">
      <c r="A112" s="17"/>
      <c r="B112" s="18" t="s">
        <v>7</v>
      </c>
      <c r="C112" s="33" t="s">
        <v>4</v>
      </c>
      <c r="D112" s="18" t="s">
        <v>5</v>
      </c>
      <c r="E112" s="19" t="s">
        <v>6</v>
      </c>
      <c r="F112" s="36" t="s">
        <v>41</v>
      </c>
      <c r="G112" s="37" t="s">
        <v>42</v>
      </c>
      <c r="H112" s="37" t="s">
        <v>43</v>
      </c>
      <c r="I112" s="30" t="s">
        <v>44</v>
      </c>
    </row>
    <row r="113" spans="1:9" x14ac:dyDescent="0.3">
      <c r="A113" s="20" t="s">
        <v>11</v>
      </c>
      <c r="B113" s="13">
        <v>1.4930555555555556E-3</v>
      </c>
      <c r="C113" s="13">
        <v>1.6435185185185183E-3</v>
      </c>
      <c r="D113" s="13">
        <v>2.0949074074074073E-3</v>
      </c>
      <c r="E113" s="34">
        <v>2.0486111111111113E-3</v>
      </c>
      <c r="F113" s="50">
        <f t="shared" ref="F113:I114" si="8">HOUR(B113)*3600 + MINUTE(B113)*60 + SECOND(B113)</f>
        <v>129</v>
      </c>
      <c r="G113">
        <f t="shared" si="8"/>
        <v>142</v>
      </c>
      <c r="H113">
        <f t="shared" si="8"/>
        <v>181</v>
      </c>
      <c r="I113" s="53">
        <f t="shared" si="8"/>
        <v>177</v>
      </c>
    </row>
    <row r="114" spans="1:9" x14ac:dyDescent="0.3">
      <c r="A114" s="20"/>
      <c r="B114" s="13">
        <v>2.1874999999999998E-3</v>
      </c>
      <c r="C114" s="13">
        <v>1.4120370370370369E-3</v>
      </c>
      <c r="D114" s="13">
        <v>1.8171296296296297E-3</v>
      </c>
      <c r="E114" s="34">
        <v>1.3888888888888889E-3</v>
      </c>
      <c r="F114" s="50">
        <f t="shared" si="8"/>
        <v>189</v>
      </c>
      <c r="G114">
        <f t="shared" si="8"/>
        <v>122</v>
      </c>
      <c r="H114">
        <f t="shared" si="8"/>
        <v>157</v>
      </c>
      <c r="I114" s="53">
        <f t="shared" si="8"/>
        <v>120</v>
      </c>
    </row>
    <row r="115" spans="1:9" x14ac:dyDescent="0.3">
      <c r="A115" s="20"/>
      <c r="B115" s="13">
        <v>1.3310185185185185E-3</v>
      </c>
      <c r="C115" s="13">
        <v>1.4004629629629629E-3</v>
      </c>
      <c r="D115" s="13">
        <v>1.3078703703703705E-3</v>
      </c>
      <c r="E115" s="21"/>
      <c r="F115" s="50">
        <f>HOUR(B115)*3600 + MINUTE(B115)*60 + SECOND(B115)</f>
        <v>115</v>
      </c>
      <c r="G115">
        <f>HOUR(C115)*3600 + MINUTE(C115)*60 + SECOND(C115)</f>
        <v>121</v>
      </c>
      <c r="H115">
        <f>HOUR(D115)*3600 + MINUTE(D115)*60 + SECOND(D115)</f>
        <v>113</v>
      </c>
      <c r="I115" s="53"/>
    </row>
    <row r="116" spans="1:9" x14ac:dyDescent="0.3">
      <c r="A116" s="69"/>
      <c r="B116" s="71"/>
      <c r="C116" s="13">
        <v>1.3194444444444443E-3</v>
      </c>
      <c r="D116" s="70"/>
      <c r="E116" s="72"/>
      <c r="F116" s="50"/>
      <c r="G116">
        <f>HOUR(C116)*3600 + MINUTE(C116)*60 + SECOND(C116)</f>
        <v>114</v>
      </c>
      <c r="I116" s="53"/>
    </row>
    <row r="117" spans="1:9" ht="15" thickBot="1" x14ac:dyDescent="0.35">
      <c r="A117" s="27" t="s">
        <v>9</v>
      </c>
      <c r="B117" s="32">
        <f>AVERAGE(B113:B115)</f>
        <v>1.6705246913580245E-3</v>
      </c>
      <c r="C117" s="32">
        <f t="shared" ref="C117:E117" si="9">AVERAGE(C113:C115)</f>
        <v>1.4853395061728393E-3</v>
      </c>
      <c r="D117" s="32">
        <f t="shared" si="9"/>
        <v>1.7399691358024692E-3</v>
      </c>
      <c r="E117" s="35">
        <f t="shared" si="9"/>
        <v>1.7187500000000002E-3</v>
      </c>
      <c r="F117" s="74">
        <f>AVERAGE(F113:F115)</f>
        <v>144.33333333333334</v>
      </c>
      <c r="G117" s="75">
        <f>AVERAGE(G113:G116)</f>
        <v>124.75</v>
      </c>
      <c r="H117" s="75">
        <f>AVERAGE(H113:H115)</f>
        <v>150.33333333333334</v>
      </c>
      <c r="I117" s="76">
        <f>AVERAGE(I113:I114)</f>
        <v>148.5</v>
      </c>
    </row>
    <row r="118" spans="1:9" x14ac:dyDescent="0.3">
      <c r="A118" s="2"/>
      <c r="B118" s="15"/>
      <c r="C118" s="15"/>
      <c r="D118" s="15"/>
      <c r="E118" s="15"/>
      <c r="F118" s="2"/>
    </row>
    <row r="119" spans="1:9" x14ac:dyDescent="0.3">
      <c r="A119" s="2"/>
      <c r="B119" s="15"/>
      <c r="C119" s="15"/>
      <c r="D119" s="15"/>
      <c r="E119" s="15"/>
      <c r="F119" s="2"/>
    </row>
    <row r="120" spans="1:9" ht="15" thickBot="1" x14ac:dyDescent="0.35">
      <c r="G120" s="2"/>
      <c r="H120" s="2"/>
    </row>
    <row r="121" spans="1:9" x14ac:dyDescent="0.3">
      <c r="A121" s="17"/>
      <c r="B121" s="18" t="s">
        <v>7</v>
      </c>
      <c r="C121" s="33" t="s">
        <v>4</v>
      </c>
      <c r="D121" s="18" t="s">
        <v>5</v>
      </c>
      <c r="E121" s="19" t="s">
        <v>6</v>
      </c>
      <c r="F121" s="36" t="s">
        <v>41</v>
      </c>
      <c r="G121" s="37" t="s">
        <v>42</v>
      </c>
      <c r="H121" s="37" t="s">
        <v>43</v>
      </c>
      <c r="I121" s="30" t="s">
        <v>44</v>
      </c>
    </row>
    <row r="122" spans="1:9" x14ac:dyDescent="0.3">
      <c r="A122" s="20" t="s">
        <v>15</v>
      </c>
      <c r="B122" s="13">
        <v>1.6435185185185183E-3</v>
      </c>
      <c r="C122" s="13">
        <v>1.2152777777777778E-3</v>
      </c>
      <c r="D122" s="13">
        <v>1.2152777777777778E-3</v>
      </c>
      <c r="E122" s="34">
        <v>1.4583333333333334E-3</v>
      </c>
      <c r="F122" s="50">
        <f t="shared" ref="F122:I124" si="10">HOUR(B122)*3600 + MINUTE(B122)*60 + SECOND(B122)</f>
        <v>142</v>
      </c>
      <c r="G122">
        <f t="shared" si="10"/>
        <v>105</v>
      </c>
      <c r="H122">
        <f t="shared" si="10"/>
        <v>105</v>
      </c>
      <c r="I122" s="53">
        <f t="shared" si="10"/>
        <v>126</v>
      </c>
    </row>
    <row r="123" spans="1:9" x14ac:dyDescent="0.3">
      <c r="A123" s="20"/>
      <c r="B123" s="13">
        <v>1.5856481481481479E-3</v>
      </c>
      <c r="C123" s="13">
        <v>1.6319444444444445E-3</v>
      </c>
      <c r="D123" s="13">
        <v>1.4351851851851854E-3</v>
      </c>
      <c r="E123" s="34">
        <v>1.5277777777777779E-3</v>
      </c>
      <c r="F123" s="50">
        <f t="shared" si="10"/>
        <v>137</v>
      </c>
      <c r="G123">
        <f t="shared" si="10"/>
        <v>141</v>
      </c>
      <c r="H123">
        <f t="shared" si="10"/>
        <v>124</v>
      </c>
      <c r="I123" s="53">
        <f t="shared" si="10"/>
        <v>132</v>
      </c>
    </row>
    <row r="124" spans="1:9" x14ac:dyDescent="0.3">
      <c r="A124" s="20"/>
      <c r="B124" s="13">
        <v>1.5509259259259261E-3</v>
      </c>
      <c r="C124" s="13">
        <v>1.2731481481481483E-3</v>
      </c>
      <c r="D124" s="13">
        <v>1.3541666666666667E-3</v>
      </c>
      <c r="E124" s="13">
        <v>1.4583333333333334E-3</v>
      </c>
      <c r="F124" s="50">
        <f t="shared" si="10"/>
        <v>134</v>
      </c>
      <c r="G124">
        <f t="shared" si="10"/>
        <v>110</v>
      </c>
      <c r="H124">
        <f t="shared" si="10"/>
        <v>117</v>
      </c>
      <c r="I124" s="53">
        <f t="shared" si="10"/>
        <v>126</v>
      </c>
    </row>
    <row r="125" spans="1:9" x14ac:dyDescent="0.3">
      <c r="A125" s="69"/>
      <c r="B125" s="71"/>
      <c r="C125" s="71"/>
      <c r="D125" s="70"/>
      <c r="E125" s="72"/>
      <c r="F125" s="50"/>
      <c r="I125" s="53"/>
    </row>
    <row r="126" spans="1:9" ht="15" thickBot="1" x14ac:dyDescent="0.35">
      <c r="A126" s="27" t="s">
        <v>9</v>
      </c>
      <c r="B126" s="32">
        <f>AVERAGE(B122:B124)</f>
        <v>1.5933641975308642E-3</v>
      </c>
      <c r="C126" s="32">
        <f>AVERAGE(C122:C124)</f>
        <v>1.3734567901234568E-3</v>
      </c>
      <c r="D126" s="32">
        <f t="shared" ref="D126:E126" si="11">AVERAGE(D122:D124)</f>
        <v>1.3348765432098766E-3</v>
      </c>
      <c r="E126" s="35">
        <f t="shared" si="11"/>
        <v>1.4814814814814814E-3</v>
      </c>
      <c r="F126" s="83">
        <f>AVERAGE(F122:F124)</f>
        <v>137.66666666666666</v>
      </c>
      <c r="G126" s="73">
        <f>AVERAGE(G122:G124)</f>
        <v>118.66666666666667</v>
      </c>
      <c r="H126" s="73">
        <f>AVERAGE(H122:H124)</f>
        <v>115.33333333333333</v>
      </c>
      <c r="I126" s="73">
        <f>AVERAGE(I122:I124)</f>
        <v>128</v>
      </c>
    </row>
    <row r="127" spans="1:9" x14ac:dyDescent="0.3">
      <c r="A127" s="2"/>
      <c r="B127" s="15"/>
      <c r="C127" s="15"/>
      <c r="D127" s="15"/>
      <c r="E127" s="15"/>
    </row>
    <row r="128" spans="1:9" x14ac:dyDescent="0.3">
      <c r="A128" s="2"/>
      <c r="B128" s="15"/>
      <c r="C128" s="15"/>
      <c r="D128" s="15"/>
      <c r="E128" s="15"/>
    </row>
    <row r="129" spans="1:9" ht="15" thickBot="1" x14ac:dyDescent="0.35"/>
    <row r="130" spans="1:9" x14ac:dyDescent="0.3">
      <c r="A130" s="17"/>
      <c r="B130" s="18" t="s">
        <v>7</v>
      </c>
      <c r="C130" s="33" t="s">
        <v>4</v>
      </c>
      <c r="D130" s="18" t="s">
        <v>5</v>
      </c>
      <c r="E130" s="19" t="s">
        <v>6</v>
      </c>
      <c r="F130" s="36" t="s">
        <v>41</v>
      </c>
      <c r="G130" s="37" t="s">
        <v>42</v>
      </c>
      <c r="H130" s="37" t="s">
        <v>43</v>
      </c>
      <c r="I130" s="30" t="s">
        <v>44</v>
      </c>
    </row>
    <row r="131" spans="1:9" x14ac:dyDescent="0.3">
      <c r="A131" s="20" t="s">
        <v>16</v>
      </c>
      <c r="B131" s="13">
        <v>1.4583333333333334E-3</v>
      </c>
      <c r="C131" s="13">
        <v>1.5856481481481479E-3</v>
      </c>
      <c r="D131" s="13">
        <v>1.7708333333333332E-3</v>
      </c>
      <c r="E131" s="34">
        <v>2.1064814814814813E-3</v>
      </c>
      <c r="F131" s="50">
        <f t="shared" ref="F131:I132" si="12">HOUR(B131)*3600 + MINUTE(B131)*60 + SECOND(B131)</f>
        <v>126</v>
      </c>
      <c r="G131">
        <f t="shared" si="12"/>
        <v>137</v>
      </c>
      <c r="H131">
        <f t="shared" si="12"/>
        <v>153</v>
      </c>
      <c r="I131" s="53">
        <f t="shared" si="12"/>
        <v>182</v>
      </c>
    </row>
    <row r="132" spans="1:9" x14ac:dyDescent="0.3">
      <c r="A132" s="20"/>
      <c r="B132" s="13">
        <v>1.423611111111111E-3</v>
      </c>
      <c r="C132" s="13">
        <v>1.5509259259259261E-3</v>
      </c>
      <c r="D132" s="13">
        <v>2.5347222222222221E-3</v>
      </c>
      <c r="E132" s="34">
        <v>1.8171296296296297E-3</v>
      </c>
      <c r="F132" s="50">
        <f t="shared" si="12"/>
        <v>123</v>
      </c>
      <c r="G132">
        <f t="shared" si="12"/>
        <v>134</v>
      </c>
      <c r="H132">
        <f t="shared" si="12"/>
        <v>219</v>
      </c>
      <c r="I132" s="53">
        <f t="shared" si="12"/>
        <v>157</v>
      </c>
    </row>
    <row r="133" spans="1:9" x14ac:dyDescent="0.3">
      <c r="A133" s="20"/>
      <c r="B133" s="13">
        <v>1.4930555555555556E-3</v>
      </c>
      <c r="C133" s="3"/>
      <c r="D133" s="13">
        <v>1.9675925925925928E-3</v>
      </c>
      <c r="E133" s="13">
        <v>1.8518518518518517E-3</v>
      </c>
      <c r="F133" s="50">
        <f>HOUR(B133)*3600 + MINUTE(B133)*60 + SECOND(B133)</f>
        <v>129</v>
      </c>
      <c r="H133">
        <f>HOUR(D133)*3600 + MINUTE(D133)*60 + SECOND(D133)</f>
        <v>170</v>
      </c>
      <c r="I133" s="53">
        <f>HOUR(E133)*3600 + MINUTE(E133)*60 + SECOND(E133)</f>
        <v>160</v>
      </c>
    </row>
    <row r="134" spans="1:9" x14ac:dyDescent="0.3">
      <c r="A134" s="20"/>
      <c r="B134" s="3"/>
      <c r="C134" s="3"/>
      <c r="D134" s="13">
        <v>1.6319444444444445E-3</v>
      </c>
      <c r="E134" s="21"/>
      <c r="F134" s="50"/>
      <c r="H134">
        <f>HOUR(D134)*3600 + MINUTE(D134)*60 + SECOND(D134)</f>
        <v>141</v>
      </c>
      <c r="I134" s="53"/>
    </row>
    <row r="135" spans="1:9" x14ac:dyDescent="0.3">
      <c r="A135" s="69"/>
      <c r="B135" s="70"/>
      <c r="C135" s="70"/>
      <c r="D135" s="71"/>
      <c r="E135" s="72"/>
      <c r="F135" s="50"/>
      <c r="I135" s="53"/>
    </row>
    <row r="136" spans="1:9" x14ac:dyDescent="0.3">
      <c r="A136" s="69"/>
      <c r="B136" s="70"/>
      <c r="C136" s="70"/>
      <c r="D136" s="71"/>
      <c r="E136" s="72"/>
      <c r="F136" s="50"/>
      <c r="I136" s="53"/>
    </row>
    <row r="137" spans="1:9" ht="15" thickBot="1" x14ac:dyDescent="0.35">
      <c r="A137" s="27" t="s">
        <v>9</v>
      </c>
      <c r="B137" s="32">
        <f>AVERAGE(B131:B133)</f>
        <v>1.4583333333333334E-3</v>
      </c>
      <c r="C137" s="32">
        <f>AVERAGE(C131:C132)</f>
        <v>1.5682870370370369E-3</v>
      </c>
      <c r="D137" s="32">
        <f>AVERAGE(D131:D134)</f>
        <v>1.976273148148148E-3</v>
      </c>
      <c r="E137" s="35">
        <f>AVERAGE(E131:E132)</f>
        <v>1.9618055555555556E-3</v>
      </c>
      <c r="F137" s="83">
        <f>AVERAGE(F131:F133)</f>
        <v>126</v>
      </c>
      <c r="G137" s="73">
        <f>AVERAGE(G131:G132)</f>
        <v>135.5</v>
      </c>
      <c r="H137" s="73">
        <f>AVERAGE(H131:H134)</f>
        <v>170.75</v>
      </c>
      <c r="I137" s="73">
        <f>AVERAGE(I131:I133)</f>
        <v>166.33333333333334</v>
      </c>
    </row>
    <row r="138" spans="1:9" x14ac:dyDescent="0.3">
      <c r="A138" s="2"/>
      <c r="B138" s="15"/>
      <c r="C138" s="15"/>
      <c r="D138" s="15"/>
      <c r="E138" s="15"/>
    </row>
    <row r="139" spans="1:9" ht="15" thickBot="1" x14ac:dyDescent="0.35">
      <c r="A139" s="2"/>
      <c r="B139" s="15"/>
      <c r="C139" s="15"/>
      <c r="D139" s="15"/>
      <c r="E139" s="15"/>
    </row>
    <row r="140" spans="1:9" x14ac:dyDescent="0.3">
      <c r="A140" s="17"/>
      <c r="B140" s="18" t="s">
        <v>7</v>
      </c>
      <c r="C140" s="33" t="s">
        <v>4</v>
      </c>
      <c r="D140" s="18" t="s">
        <v>5</v>
      </c>
      <c r="E140" s="84" t="s">
        <v>6</v>
      </c>
      <c r="F140" s="36" t="s">
        <v>41</v>
      </c>
      <c r="G140" s="37" t="s">
        <v>42</v>
      </c>
      <c r="H140" s="37" t="s">
        <v>43</v>
      </c>
      <c r="I140" s="30" t="s">
        <v>44</v>
      </c>
    </row>
    <row r="141" spans="1:9" x14ac:dyDescent="0.3">
      <c r="A141" s="20" t="s">
        <v>17</v>
      </c>
      <c r="B141" s="13">
        <v>1.5046296296296294E-3</v>
      </c>
      <c r="C141" s="13">
        <v>1.3425925925925925E-3</v>
      </c>
      <c r="D141" s="13">
        <v>1.3657407407407409E-3</v>
      </c>
      <c r="E141" s="85">
        <v>2.1527777777777778E-3</v>
      </c>
      <c r="F141" s="50">
        <f t="shared" ref="F141:I142" si="13">HOUR(B141)*3600 + MINUTE(B141)*60 + SECOND(B141)</f>
        <v>130</v>
      </c>
      <c r="G141">
        <f t="shared" si="13"/>
        <v>116</v>
      </c>
      <c r="H141">
        <f t="shared" si="13"/>
        <v>118</v>
      </c>
      <c r="I141" s="53">
        <f t="shared" si="13"/>
        <v>186</v>
      </c>
    </row>
    <row r="142" spans="1:9" x14ac:dyDescent="0.3">
      <c r="A142" s="20"/>
      <c r="B142" s="13">
        <v>2.0023148148148148E-3</v>
      </c>
      <c r="C142" s="13">
        <v>1.5277777777777779E-3</v>
      </c>
      <c r="D142" s="13">
        <v>1.6203703703703703E-3</v>
      </c>
      <c r="E142" s="85">
        <v>2.0486111111111113E-3</v>
      </c>
      <c r="F142" s="50">
        <f t="shared" si="13"/>
        <v>173</v>
      </c>
      <c r="G142">
        <f t="shared" si="13"/>
        <v>132</v>
      </c>
      <c r="H142">
        <f t="shared" si="13"/>
        <v>140</v>
      </c>
      <c r="I142" s="53">
        <f t="shared" si="13"/>
        <v>177</v>
      </c>
    </row>
    <row r="143" spans="1:9" x14ac:dyDescent="0.3">
      <c r="A143" s="20"/>
      <c r="B143" s="13">
        <v>1.0416666666666667E-3</v>
      </c>
      <c r="C143" s="13">
        <v>1.2847222222222223E-3</v>
      </c>
      <c r="D143" s="3"/>
      <c r="E143" s="85">
        <v>1.6203703703703703E-3</v>
      </c>
      <c r="F143" s="50">
        <f>HOUR(B143)*3600 + MINUTE(B143)*60 + SECOND(B143)</f>
        <v>90</v>
      </c>
      <c r="G143">
        <f>HOUR(C143)*3600 + MINUTE(C143)*60 + SECOND(C143)</f>
        <v>111</v>
      </c>
      <c r="I143" s="53">
        <f>HOUR(E143)*3600 + MINUTE(E143)*60 + SECOND(E143)</f>
        <v>140</v>
      </c>
    </row>
    <row r="144" spans="1:9" x14ac:dyDescent="0.3">
      <c r="A144" s="20"/>
      <c r="B144" s="3"/>
      <c r="C144" s="3"/>
      <c r="D144" s="3"/>
      <c r="E144" s="85">
        <v>1.7476851851851852E-3</v>
      </c>
      <c r="F144" s="50"/>
      <c r="I144" s="53">
        <f>HOUR(E144)*3600 + MINUTE(E144)*60 + SECOND(E144)</f>
        <v>151</v>
      </c>
    </row>
    <row r="145" spans="1:13" x14ac:dyDescent="0.3">
      <c r="A145" s="20"/>
      <c r="B145" s="3"/>
      <c r="C145" s="3"/>
      <c r="D145" s="3"/>
      <c r="E145" s="94"/>
      <c r="F145" s="50"/>
      <c r="I145" s="53"/>
    </row>
    <row r="146" spans="1:13" x14ac:dyDescent="0.3">
      <c r="A146" s="20"/>
      <c r="B146" s="3"/>
      <c r="C146" s="3"/>
      <c r="D146" s="3"/>
      <c r="F146" s="50"/>
      <c r="I146" s="53"/>
    </row>
    <row r="147" spans="1:13" ht="15" thickBot="1" x14ac:dyDescent="0.35">
      <c r="A147" s="27" t="s">
        <v>9</v>
      </c>
      <c r="B147" s="32">
        <f>AVERAGE(B141:B143)</f>
        <v>1.5162037037037036E-3</v>
      </c>
      <c r="C147" s="32">
        <f>AVERAGE(C141:C142)</f>
        <v>1.4351851851851852E-3</v>
      </c>
      <c r="D147" s="32">
        <f>AVERAGE(D141:D142)</f>
        <v>1.4930555555555556E-3</v>
      </c>
      <c r="E147" s="86">
        <f>AVERAGE(E141:E144)</f>
        <v>1.8923611111111112E-3</v>
      </c>
      <c r="F147" s="83">
        <f>AVERAGE(F141:F143)</f>
        <v>131</v>
      </c>
      <c r="G147" s="73">
        <f>AVERAGE(G141:G143)</f>
        <v>119.66666666666667</v>
      </c>
      <c r="H147" s="73">
        <f>AVERAGE(H141:H142)</f>
        <v>129</v>
      </c>
      <c r="I147" s="73">
        <f>AVERAGE(I141:I144)</f>
        <v>163.5</v>
      </c>
    </row>
    <row r="148" spans="1:13" x14ac:dyDescent="0.3">
      <c r="A148" s="2"/>
      <c r="B148" s="15"/>
      <c r="C148" s="15"/>
      <c r="D148" s="15"/>
      <c r="E148" s="15"/>
    </row>
    <row r="149" spans="1:13" ht="15" thickBot="1" x14ac:dyDescent="0.35">
      <c r="C149" s="1"/>
    </row>
    <row r="150" spans="1:13" ht="15" thickBot="1" x14ac:dyDescent="0.35">
      <c r="A150" s="36"/>
      <c r="B150" s="37"/>
      <c r="C150" s="37" t="s">
        <v>32</v>
      </c>
      <c r="D150" s="37"/>
      <c r="E150" s="37"/>
      <c r="F150" s="30"/>
    </row>
    <row r="151" spans="1:13" x14ac:dyDescent="0.3">
      <c r="A151" s="20"/>
      <c r="B151" s="3" t="s">
        <v>7</v>
      </c>
      <c r="C151" s="12" t="s">
        <v>4</v>
      </c>
      <c r="D151" s="3" t="s">
        <v>5</v>
      </c>
      <c r="E151" s="3" t="s">
        <v>6</v>
      </c>
      <c r="F151" s="77" t="s">
        <v>9</v>
      </c>
      <c r="G151" s="36" t="s">
        <v>7</v>
      </c>
      <c r="H151" s="37" t="s">
        <v>4</v>
      </c>
      <c r="I151" s="37" t="s">
        <v>5</v>
      </c>
      <c r="J151" s="30" t="s">
        <v>6</v>
      </c>
      <c r="K151" t="s">
        <v>25</v>
      </c>
      <c r="L151" t="s">
        <v>74</v>
      </c>
      <c r="M151" t="s">
        <v>73</v>
      </c>
    </row>
    <row r="152" spans="1:13" x14ac:dyDescent="0.3">
      <c r="A152" s="20" t="s">
        <v>11</v>
      </c>
      <c r="B152" s="16">
        <v>1.6666666666666668E-3</v>
      </c>
      <c r="C152" s="16">
        <v>1.4853395061728393E-3</v>
      </c>
      <c r="D152" s="16">
        <v>1.7399691358024692E-3</v>
      </c>
      <c r="E152" s="16">
        <v>1.7187500000000002E-3</v>
      </c>
      <c r="F152" s="78">
        <f>AVERAGE(B152:E152)</f>
        <v>1.652681327160494E-3</v>
      </c>
      <c r="G152" s="87">
        <f t="shared" ref="G152:J155" si="14">HOUR(B152)*3600 + MINUTE(B152)*60 + SECOND(B152)</f>
        <v>144</v>
      </c>
      <c r="H152" s="52">
        <f t="shared" si="14"/>
        <v>128</v>
      </c>
      <c r="I152" s="52">
        <f t="shared" si="14"/>
        <v>150</v>
      </c>
      <c r="J152" s="88">
        <f t="shared" si="14"/>
        <v>149</v>
      </c>
      <c r="K152" s="52">
        <f>AVERAGE(G152:J152)</f>
        <v>142.75</v>
      </c>
      <c r="L152" s="52">
        <f>_xlfn.STDEV.P(G152:J152)</f>
        <v>8.8140512819020973</v>
      </c>
      <c r="M152" s="103">
        <f>L152/SQRT(COUNT(G152:J152))</f>
        <v>4.4070256409510487</v>
      </c>
    </row>
    <row r="153" spans="1:13" x14ac:dyDescent="0.3">
      <c r="A153" s="20" t="s">
        <v>15</v>
      </c>
      <c r="B153" s="16">
        <v>1.5933641975308642E-3</v>
      </c>
      <c r="C153" s="16">
        <v>1.3734567901234568E-3</v>
      </c>
      <c r="D153" s="16">
        <v>1.3348765432098766E-3</v>
      </c>
      <c r="E153" s="16">
        <v>1.4814814814814814E-3</v>
      </c>
      <c r="F153" s="78">
        <f>AVERAGE(B153:E153)</f>
        <v>1.4457947530864196E-3</v>
      </c>
      <c r="G153" s="87">
        <f t="shared" si="14"/>
        <v>138</v>
      </c>
      <c r="H153" s="52">
        <f t="shared" si="14"/>
        <v>119</v>
      </c>
      <c r="I153" s="52">
        <f t="shared" si="14"/>
        <v>115</v>
      </c>
      <c r="J153" s="88">
        <f t="shared" si="14"/>
        <v>128</v>
      </c>
      <c r="K153" s="52">
        <f t="shared" ref="K153:K155" si="15">AVERAGE(G153:J153)</f>
        <v>125</v>
      </c>
      <c r="L153" s="52">
        <f t="shared" ref="L153:L155" si="16">_xlfn.STDEV.P(G153:J153)</f>
        <v>8.8600225733346747</v>
      </c>
      <c r="M153" s="103">
        <f t="shared" ref="M153:M155" si="17">L153/SQRT(COUNT(G153:J153))</f>
        <v>4.4300112866673373</v>
      </c>
    </row>
    <row r="154" spans="1:13" x14ac:dyDescent="0.3">
      <c r="A154" s="20" t="s">
        <v>16</v>
      </c>
      <c r="B154" s="16">
        <v>1.4583333333333334E-3</v>
      </c>
      <c r="C154" s="16">
        <v>1.5682870370370369E-3</v>
      </c>
      <c r="D154" s="16">
        <v>1.976273148148148E-3</v>
      </c>
      <c r="E154" s="16">
        <v>1.9618055555555556E-3</v>
      </c>
      <c r="F154" s="78">
        <f>AVERAGE(B154:E154)</f>
        <v>1.7411747685185186E-3</v>
      </c>
      <c r="G154" s="87">
        <f>HOUR(B154)*3600 + MINUTE(B154)*60 + SECOND(B154)</f>
        <v>126</v>
      </c>
      <c r="H154" s="52">
        <f t="shared" si="14"/>
        <v>135</v>
      </c>
      <c r="I154" s="52">
        <f t="shared" si="14"/>
        <v>171</v>
      </c>
      <c r="J154" s="88">
        <f t="shared" si="14"/>
        <v>170</v>
      </c>
      <c r="K154" s="52">
        <f t="shared" si="15"/>
        <v>150.5</v>
      </c>
      <c r="L154" s="52">
        <f t="shared" si="16"/>
        <v>20.254629100529094</v>
      </c>
      <c r="M154" s="103">
        <f t="shared" si="17"/>
        <v>10.127314550264547</v>
      </c>
    </row>
    <row r="155" spans="1:13" x14ac:dyDescent="0.3">
      <c r="A155" s="20" t="s">
        <v>17</v>
      </c>
      <c r="B155" s="16">
        <v>1.5162037037037036E-3</v>
      </c>
      <c r="C155" s="16">
        <v>1.4351851851851852E-3</v>
      </c>
      <c r="D155" s="16">
        <v>1.4930555555555556E-3</v>
      </c>
      <c r="E155" s="16">
        <v>1.8923611111111112E-3</v>
      </c>
      <c r="F155" s="78">
        <f>AVERAGE(B155:E155)</f>
        <v>1.5842013888888889E-3</v>
      </c>
      <c r="G155" s="87">
        <f t="shared" si="14"/>
        <v>131</v>
      </c>
      <c r="H155" s="52">
        <f t="shared" si="14"/>
        <v>124</v>
      </c>
      <c r="I155" s="52">
        <f t="shared" si="14"/>
        <v>129</v>
      </c>
      <c r="J155" s="88">
        <f t="shared" si="14"/>
        <v>164</v>
      </c>
      <c r="K155" s="52">
        <f t="shared" si="15"/>
        <v>137</v>
      </c>
      <c r="L155" s="52">
        <f t="shared" si="16"/>
        <v>15.795568998931314</v>
      </c>
      <c r="M155" s="103">
        <f t="shared" si="17"/>
        <v>7.897784499465657</v>
      </c>
    </row>
    <row r="156" spans="1:13" ht="15" thickBot="1" x14ac:dyDescent="0.35">
      <c r="A156" s="27" t="s">
        <v>9</v>
      </c>
      <c r="B156" s="32">
        <f>AVERAGE(B152:B155)</f>
        <v>1.5586419753086419E-3</v>
      </c>
      <c r="C156" s="32">
        <f t="shared" ref="C156:E156" si="18">AVERAGE(C152:C155)</f>
        <v>1.4655671296296296E-3</v>
      </c>
      <c r="D156" s="32">
        <f t="shared" si="18"/>
        <v>1.6360435956790124E-3</v>
      </c>
      <c r="E156" s="32">
        <f t="shared" si="18"/>
        <v>1.7635995370370373E-3</v>
      </c>
      <c r="F156" s="79"/>
      <c r="G156" s="80">
        <f>AVERAGE(G152:G155)</f>
        <v>134.75</v>
      </c>
      <c r="H156" s="81">
        <f>AVERAGE(H152:H155)</f>
        <v>126.5</v>
      </c>
      <c r="I156" s="81">
        <f>AVERAGE(I152:I155)</f>
        <v>141.25</v>
      </c>
      <c r="J156" s="82">
        <f>AVERAGE(J152:J155)</f>
        <v>152.75</v>
      </c>
    </row>
    <row r="157" spans="1:13" x14ac:dyDescent="0.3">
      <c r="F157" t="s">
        <v>12</v>
      </c>
      <c r="G157" s="101">
        <f>_xlfn.STDEV.S(G152:G155)</f>
        <v>7.8898669190297497</v>
      </c>
      <c r="H157" s="100">
        <f t="shared" ref="H157:J157" si="19">_xlfn.STDEV.S(H152:H155)</f>
        <v>6.757711644237764</v>
      </c>
      <c r="I157" s="100">
        <f t="shared" si="19"/>
        <v>24.5</v>
      </c>
      <c r="J157" s="102">
        <f t="shared" si="19"/>
        <v>18.714967272212903</v>
      </c>
    </row>
    <row r="158" spans="1:13" ht="15" thickBot="1" x14ac:dyDescent="0.35">
      <c r="F158" t="s">
        <v>14</v>
      </c>
      <c r="G158" s="89">
        <f>G157/SQRT(COUNT(G152:G155))</f>
        <v>3.9449334595148748</v>
      </c>
      <c r="H158" s="90">
        <f>H157/SQRT(COUNT(H152:H155))</f>
        <v>3.378855822118882</v>
      </c>
      <c r="I158" s="90">
        <f>I157/SQRT(COUNT(I152:I155))</f>
        <v>12.25</v>
      </c>
      <c r="J158" s="91">
        <f>J157/SQRT(COUNT(J152:J155))</f>
        <v>9.3574836361064513</v>
      </c>
    </row>
  </sheetData>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42BD-7702-4546-9B59-F63872931389}">
  <dimension ref="B1:AH51"/>
  <sheetViews>
    <sheetView topLeftCell="F31" zoomScale="105" zoomScaleNormal="55" workbookViewId="0">
      <selection activeCell="F21" sqref="F21"/>
    </sheetView>
  </sheetViews>
  <sheetFormatPr defaultRowHeight="17.399999999999999" customHeight="1" x14ac:dyDescent="0.3"/>
  <cols>
    <col min="1" max="1" width="9.6640625" customWidth="1"/>
    <col min="2" max="2" width="5.5546875" bestFit="1" customWidth="1"/>
    <col min="3" max="3" width="7.109375" bestFit="1" customWidth="1"/>
    <col min="4" max="4" width="26.88671875" bestFit="1" customWidth="1"/>
    <col min="5" max="5" width="12.5546875" bestFit="1" customWidth="1"/>
    <col min="9" max="9" width="11.77734375" bestFit="1" customWidth="1"/>
    <col min="10" max="10" width="2.33203125" bestFit="1" customWidth="1"/>
    <col min="11" max="11" width="15.5546875" bestFit="1" customWidth="1"/>
    <col min="12" max="18" width="2.33203125" bestFit="1" customWidth="1"/>
    <col min="19" max="19" width="3.5546875" bestFit="1" customWidth="1"/>
    <col min="20" max="20" width="12" bestFit="1" customWidth="1"/>
    <col min="23" max="23" width="11.77734375" bestFit="1" customWidth="1"/>
    <col min="24" max="24" width="2.33203125" bestFit="1" customWidth="1"/>
    <col min="25" max="25" width="12.5546875" bestFit="1" customWidth="1"/>
    <col min="26" max="32" width="2.33203125" bestFit="1" customWidth="1"/>
    <col min="33" max="33" width="3.5546875" bestFit="1" customWidth="1"/>
    <col min="34" max="34" width="12" bestFit="1" customWidth="1"/>
  </cols>
  <sheetData>
    <row r="1" spans="2:34" ht="17.399999999999999" customHeight="1" thickBot="1" x14ac:dyDescent="0.35">
      <c r="B1" s="36"/>
      <c r="C1" s="37"/>
      <c r="D1" s="37" t="s">
        <v>45</v>
      </c>
      <c r="E1" s="30"/>
    </row>
    <row r="2" spans="2:34" ht="17.399999999999999" customHeight="1" x14ac:dyDescent="0.3">
      <c r="B2" s="50" t="s">
        <v>7</v>
      </c>
      <c r="C2" t="s">
        <v>4</v>
      </c>
      <c r="D2" t="s">
        <v>5</v>
      </c>
      <c r="E2" s="53" t="s">
        <v>6</v>
      </c>
      <c r="I2" s="36"/>
      <c r="J2" s="37"/>
      <c r="K2" s="37" t="s">
        <v>7</v>
      </c>
      <c r="L2" s="37"/>
      <c r="M2" s="37"/>
      <c r="N2" s="37"/>
      <c r="O2" s="37"/>
      <c r="P2" s="37"/>
      <c r="Q2" s="37"/>
      <c r="R2" s="37"/>
      <c r="S2" s="37"/>
      <c r="T2" s="30"/>
      <c r="W2" s="36"/>
      <c r="X2" s="37"/>
      <c r="Y2" s="37" t="s">
        <v>4</v>
      </c>
      <c r="Z2" s="37"/>
      <c r="AA2" s="37"/>
      <c r="AB2" s="37"/>
      <c r="AC2" s="37"/>
      <c r="AD2" s="37"/>
      <c r="AE2" s="37"/>
      <c r="AF2" s="37"/>
      <c r="AG2" s="37"/>
      <c r="AH2" s="30"/>
    </row>
    <row r="3" spans="2:34" ht="17.399999999999999" customHeight="1" thickBot="1" x14ac:dyDescent="0.35">
      <c r="B3" s="54">
        <v>62.5</v>
      </c>
      <c r="C3" s="55">
        <v>83.75</v>
      </c>
      <c r="D3" s="55">
        <v>67.7083333333333</v>
      </c>
      <c r="E3" s="56">
        <v>61.4583333333333</v>
      </c>
      <c r="I3" s="39" t="s">
        <v>46</v>
      </c>
      <c r="J3" s="95">
        <v>1</v>
      </c>
      <c r="K3" s="95">
        <v>2</v>
      </c>
      <c r="L3" s="95">
        <v>3</v>
      </c>
      <c r="M3" s="95">
        <v>4</v>
      </c>
      <c r="N3" s="95">
        <v>5</v>
      </c>
      <c r="O3" s="95">
        <v>6</v>
      </c>
      <c r="P3" s="95">
        <v>7</v>
      </c>
      <c r="Q3" s="95">
        <v>8</v>
      </c>
      <c r="R3" s="95">
        <v>9</v>
      </c>
      <c r="S3" s="95">
        <v>10</v>
      </c>
      <c r="T3" s="40" t="s">
        <v>47</v>
      </c>
      <c r="W3" s="39" t="s">
        <v>46</v>
      </c>
      <c r="X3" s="95">
        <v>1</v>
      </c>
      <c r="Y3" s="95">
        <v>2</v>
      </c>
      <c r="Z3" s="95">
        <v>3</v>
      </c>
      <c r="AA3" s="95">
        <v>4</v>
      </c>
      <c r="AB3" s="95">
        <v>5</v>
      </c>
      <c r="AC3" s="95">
        <v>6</v>
      </c>
      <c r="AD3" s="95">
        <v>7</v>
      </c>
      <c r="AE3" s="95">
        <v>8</v>
      </c>
      <c r="AF3" s="95">
        <v>9</v>
      </c>
      <c r="AG3" s="95">
        <v>10</v>
      </c>
      <c r="AH3" s="40" t="s">
        <v>47</v>
      </c>
    </row>
    <row r="4" spans="2:34" ht="17.399999999999999" customHeight="1" x14ac:dyDescent="0.3">
      <c r="I4" s="41" t="s">
        <v>3</v>
      </c>
      <c r="T4" s="40"/>
      <c r="W4" s="41" t="s">
        <v>3</v>
      </c>
      <c r="AH4" s="40"/>
    </row>
    <row r="5" spans="2:34" ht="17.399999999999999" customHeight="1" x14ac:dyDescent="0.3">
      <c r="I5" s="41">
        <v>1</v>
      </c>
      <c r="J5" s="60">
        <v>2</v>
      </c>
      <c r="K5" s="60">
        <v>3</v>
      </c>
      <c r="L5" s="60">
        <v>3</v>
      </c>
      <c r="M5" s="60">
        <v>3</v>
      </c>
      <c r="N5" s="60">
        <v>3</v>
      </c>
      <c r="O5" s="60">
        <v>3</v>
      </c>
      <c r="P5" s="60">
        <v>4</v>
      </c>
      <c r="Q5" s="60">
        <v>4</v>
      </c>
      <c r="R5" s="60">
        <v>2</v>
      </c>
      <c r="S5" s="60">
        <v>4</v>
      </c>
      <c r="T5" s="42">
        <f>((J5-1)+(5-K5)+(L5-1)+(5-M5)+(N5-1)+(5-O5)+(P5-1)+(5-Q5)+(R5-1)+(5-S5))*2.5</f>
        <v>42.5</v>
      </c>
      <c r="W5" s="41">
        <v>1</v>
      </c>
      <c r="X5" s="60">
        <v>5</v>
      </c>
      <c r="Y5" s="60">
        <v>2</v>
      </c>
      <c r="Z5" s="60">
        <v>5</v>
      </c>
      <c r="AA5" s="60">
        <v>1</v>
      </c>
      <c r="AB5" s="60">
        <v>4</v>
      </c>
      <c r="AC5" s="60">
        <v>2</v>
      </c>
      <c r="AD5" s="60">
        <v>5</v>
      </c>
      <c r="AE5" s="60">
        <v>2</v>
      </c>
      <c r="AF5" s="60">
        <v>4</v>
      </c>
      <c r="AG5" s="60">
        <v>2</v>
      </c>
      <c r="AH5" s="42">
        <f>((X5-1)+(5-Y5)+(Z5-1)+(5-AA5)+(AB5-1)+(5-AC5)+(AD5-1)+(5-AE5)+(AF5-1)+(5-AG5))*2.5</f>
        <v>85</v>
      </c>
    </row>
    <row r="6" spans="2:34" ht="17.399999999999999" customHeight="1" x14ac:dyDescent="0.3">
      <c r="I6" s="41">
        <v>2</v>
      </c>
      <c r="J6" s="60">
        <v>3</v>
      </c>
      <c r="K6" s="60">
        <v>3</v>
      </c>
      <c r="L6" s="60">
        <v>4</v>
      </c>
      <c r="M6" s="60">
        <v>2</v>
      </c>
      <c r="N6" s="60">
        <v>3</v>
      </c>
      <c r="O6" s="60">
        <v>2</v>
      </c>
      <c r="P6" s="60">
        <v>4</v>
      </c>
      <c r="Q6" s="60">
        <v>3</v>
      </c>
      <c r="R6" s="60">
        <v>4</v>
      </c>
      <c r="S6" s="60">
        <v>2</v>
      </c>
      <c r="T6" s="42">
        <f t="shared" ref="T6:T16" si="0">((J6-1)+(5-K6)+(L6-1)+(5-M6)+(N6-1)+(5-O6)+(P6-1)+(5-Q6)+(R6-1)+(5-S6))*2.5</f>
        <v>65</v>
      </c>
      <c r="W6" s="41">
        <v>2</v>
      </c>
      <c r="X6" s="60">
        <v>4</v>
      </c>
      <c r="Y6" s="60">
        <v>2</v>
      </c>
      <c r="Z6" s="60">
        <v>5</v>
      </c>
      <c r="AA6" s="60">
        <v>2</v>
      </c>
      <c r="AB6" s="60">
        <v>5</v>
      </c>
      <c r="AC6" s="60">
        <v>1</v>
      </c>
      <c r="AD6" s="60">
        <v>5</v>
      </c>
      <c r="AE6" s="60">
        <v>2</v>
      </c>
      <c r="AF6" s="60">
        <v>5</v>
      </c>
      <c r="AG6" s="60">
        <v>2</v>
      </c>
      <c r="AH6" s="42">
        <f t="shared" ref="AH6" si="1">((X6-1)+(5-Y6)+(Z6-1)+(5-AA6)+(AB6-1)+(5-AC6)+(AD6-1)+(5-AE6)+(AF6-1)+(5-AG6))*2.5</f>
        <v>87.5</v>
      </c>
    </row>
    <row r="7" spans="2:34" ht="17.399999999999999" customHeight="1" x14ac:dyDescent="0.3">
      <c r="I7" s="41">
        <v>3</v>
      </c>
      <c r="J7" s="60">
        <v>5</v>
      </c>
      <c r="K7" s="60">
        <v>1</v>
      </c>
      <c r="L7" s="60">
        <v>5</v>
      </c>
      <c r="M7" s="60">
        <v>1</v>
      </c>
      <c r="N7" s="60">
        <v>5</v>
      </c>
      <c r="O7" s="60">
        <v>1</v>
      </c>
      <c r="P7" s="60">
        <v>5</v>
      </c>
      <c r="Q7" s="60">
        <v>1</v>
      </c>
      <c r="R7" s="60">
        <v>5</v>
      </c>
      <c r="S7" s="60">
        <v>1</v>
      </c>
      <c r="T7" s="42">
        <f>((J7-1)+(5-K7)+(L7-1)+(5-M7)+(N7-1)+(5-O7)+(P7-1)+(5-Q7)+(R7-1)+(5-S7))*2.5</f>
        <v>100</v>
      </c>
      <c r="W7" s="41">
        <v>3</v>
      </c>
      <c r="X7" s="60">
        <v>4</v>
      </c>
      <c r="Y7" s="60">
        <v>1</v>
      </c>
      <c r="Z7" s="60">
        <v>5</v>
      </c>
      <c r="AA7" s="60">
        <v>2</v>
      </c>
      <c r="AB7" s="60">
        <v>4</v>
      </c>
      <c r="AC7" s="60">
        <v>1</v>
      </c>
      <c r="AD7" s="60">
        <v>5</v>
      </c>
      <c r="AE7" s="60">
        <v>1</v>
      </c>
      <c r="AF7" s="60">
        <v>4</v>
      </c>
      <c r="AG7" s="60">
        <v>1</v>
      </c>
      <c r="AH7" s="42">
        <f>((X7-1)+(5-Y7)+(Z7-1)+(5-AA7)+(AB7-1)+(5-AC7)+(AD7-1)+(5-AE7)+(AF7-1)+(5-AG7))*2.5</f>
        <v>90</v>
      </c>
    </row>
    <row r="8" spans="2:34" ht="17.399999999999999" customHeight="1" x14ac:dyDescent="0.3">
      <c r="I8" s="41">
        <v>4</v>
      </c>
      <c r="J8" s="60">
        <v>2</v>
      </c>
      <c r="K8" s="60">
        <v>2</v>
      </c>
      <c r="L8" s="60">
        <v>4</v>
      </c>
      <c r="M8" s="60">
        <v>2</v>
      </c>
      <c r="N8" s="60">
        <v>3</v>
      </c>
      <c r="O8" s="60">
        <v>3</v>
      </c>
      <c r="P8" s="60">
        <v>5</v>
      </c>
      <c r="Q8" s="60">
        <v>3</v>
      </c>
      <c r="R8" s="60">
        <v>4</v>
      </c>
      <c r="S8" s="60">
        <v>1</v>
      </c>
      <c r="T8" s="42">
        <f t="shared" si="0"/>
        <v>67.5</v>
      </c>
      <c r="W8" s="41">
        <v>4</v>
      </c>
      <c r="X8" s="60">
        <v>5</v>
      </c>
      <c r="Y8" s="60">
        <v>1</v>
      </c>
      <c r="Z8" s="60">
        <v>5</v>
      </c>
      <c r="AA8" s="60">
        <v>1</v>
      </c>
      <c r="AB8" s="60">
        <v>5</v>
      </c>
      <c r="AC8" s="60">
        <v>2</v>
      </c>
      <c r="AD8" s="60">
        <v>5</v>
      </c>
      <c r="AE8" s="60">
        <v>2</v>
      </c>
      <c r="AF8" s="60">
        <v>5</v>
      </c>
      <c r="AG8" s="60">
        <v>1</v>
      </c>
      <c r="AH8" s="42">
        <f t="shared" ref="AH8:AH13" si="2">((X8-1)+(5-Y8)+(Z8-1)+(5-AA8)+(AB8-1)+(5-AC8)+(AD8-1)+(5-AE8)+(AF8-1)+(5-AG8))*2.5</f>
        <v>95</v>
      </c>
    </row>
    <row r="9" spans="2:34" ht="17.399999999999999" customHeight="1" x14ac:dyDescent="0.3">
      <c r="I9" s="41">
        <v>5</v>
      </c>
      <c r="J9" s="60">
        <v>5</v>
      </c>
      <c r="K9" s="60">
        <v>1</v>
      </c>
      <c r="L9" s="60">
        <v>5</v>
      </c>
      <c r="M9" s="60">
        <v>1</v>
      </c>
      <c r="N9" s="60">
        <v>5</v>
      </c>
      <c r="O9" s="60">
        <v>3</v>
      </c>
      <c r="P9" s="60">
        <v>5</v>
      </c>
      <c r="Q9" s="60">
        <v>4</v>
      </c>
      <c r="R9" s="60">
        <v>5</v>
      </c>
      <c r="S9" s="60">
        <v>1</v>
      </c>
      <c r="T9" s="42">
        <f t="shared" si="0"/>
        <v>87.5</v>
      </c>
      <c r="W9" s="41">
        <v>5</v>
      </c>
      <c r="X9" s="60">
        <v>5</v>
      </c>
      <c r="Y9" s="60">
        <v>1</v>
      </c>
      <c r="Z9" s="60">
        <v>5</v>
      </c>
      <c r="AA9" s="60">
        <v>1</v>
      </c>
      <c r="AB9" s="60">
        <v>5</v>
      </c>
      <c r="AC9" s="60">
        <v>4</v>
      </c>
      <c r="AD9" s="60">
        <v>5</v>
      </c>
      <c r="AE9" s="60">
        <v>4</v>
      </c>
      <c r="AF9" s="60">
        <v>5</v>
      </c>
      <c r="AG9" s="60">
        <v>1</v>
      </c>
      <c r="AH9" s="42">
        <f t="shared" si="2"/>
        <v>85</v>
      </c>
    </row>
    <row r="10" spans="2:34" ht="17.399999999999999" customHeight="1" x14ac:dyDescent="0.3">
      <c r="I10" s="41">
        <v>6</v>
      </c>
      <c r="J10" s="60">
        <v>3</v>
      </c>
      <c r="K10" s="60">
        <v>3</v>
      </c>
      <c r="L10" s="60">
        <v>4</v>
      </c>
      <c r="M10" s="60">
        <v>4</v>
      </c>
      <c r="N10" s="60">
        <v>3</v>
      </c>
      <c r="O10" s="60">
        <v>3</v>
      </c>
      <c r="P10" s="60">
        <v>3</v>
      </c>
      <c r="Q10" s="60">
        <v>3</v>
      </c>
      <c r="R10" s="60">
        <v>2</v>
      </c>
      <c r="S10" s="60">
        <v>2</v>
      </c>
      <c r="T10" s="42">
        <f t="shared" si="0"/>
        <v>50</v>
      </c>
      <c r="W10" s="41">
        <v>6</v>
      </c>
      <c r="X10" s="60">
        <v>4</v>
      </c>
      <c r="Y10" s="60">
        <v>2</v>
      </c>
      <c r="Z10" s="60">
        <v>5</v>
      </c>
      <c r="AA10" s="60">
        <v>3</v>
      </c>
      <c r="AB10" s="60">
        <v>4</v>
      </c>
      <c r="AC10" s="60">
        <v>2</v>
      </c>
      <c r="AD10" s="60">
        <v>4</v>
      </c>
      <c r="AE10" s="60">
        <v>2</v>
      </c>
      <c r="AF10" s="60">
        <v>4</v>
      </c>
      <c r="AG10" s="60">
        <v>2</v>
      </c>
      <c r="AH10" s="42">
        <f t="shared" si="2"/>
        <v>75</v>
      </c>
    </row>
    <row r="11" spans="2:34" ht="17.399999999999999" customHeight="1" x14ac:dyDescent="0.3">
      <c r="I11" s="41">
        <v>7</v>
      </c>
      <c r="J11" s="60">
        <v>1</v>
      </c>
      <c r="K11" s="60">
        <v>5</v>
      </c>
      <c r="L11" s="60">
        <v>1</v>
      </c>
      <c r="M11" s="60">
        <v>2</v>
      </c>
      <c r="N11" s="60">
        <v>1</v>
      </c>
      <c r="O11" s="60">
        <v>4</v>
      </c>
      <c r="P11" s="60">
        <v>3</v>
      </c>
      <c r="Q11" s="60">
        <v>5</v>
      </c>
      <c r="R11" s="60">
        <v>1</v>
      </c>
      <c r="S11" s="60">
        <v>4</v>
      </c>
      <c r="T11" s="42">
        <f t="shared" si="0"/>
        <v>17.5</v>
      </c>
      <c r="W11" s="41">
        <v>7</v>
      </c>
      <c r="X11" s="60">
        <v>4</v>
      </c>
      <c r="Y11" s="60">
        <v>1</v>
      </c>
      <c r="Z11" s="60">
        <v>4</v>
      </c>
      <c r="AA11" s="60">
        <v>1</v>
      </c>
      <c r="AB11" s="60">
        <v>4</v>
      </c>
      <c r="AC11" s="60">
        <v>2</v>
      </c>
      <c r="AD11" s="60">
        <v>4</v>
      </c>
      <c r="AE11" s="60">
        <v>2</v>
      </c>
      <c r="AF11" s="60">
        <v>4</v>
      </c>
      <c r="AG11" s="60">
        <v>2</v>
      </c>
      <c r="AH11" s="42">
        <f t="shared" si="2"/>
        <v>80</v>
      </c>
    </row>
    <row r="12" spans="2:34" ht="17.399999999999999" customHeight="1" x14ac:dyDescent="0.3">
      <c r="I12" s="41">
        <v>8</v>
      </c>
      <c r="J12" s="60">
        <v>3</v>
      </c>
      <c r="K12" s="60">
        <v>2</v>
      </c>
      <c r="L12" s="60">
        <v>5</v>
      </c>
      <c r="M12" s="60">
        <v>2</v>
      </c>
      <c r="N12" s="60">
        <v>3</v>
      </c>
      <c r="O12" s="60">
        <v>2</v>
      </c>
      <c r="P12" s="60">
        <v>5</v>
      </c>
      <c r="Q12" s="60">
        <v>2</v>
      </c>
      <c r="R12" s="60">
        <v>4</v>
      </c>
      <c r="S12" s="60">
        <v>1</v>
      </c>
      <c r="T12" s="42">
        <f t="shared" si="0"/>
        <v>77.5</v>
      </c>
      <c r="W12" s="41">
        <v>8</v>
      </c>
      <c r="X12" s="60">
        <v>5</v>
      </c>
      <c r="Y12" s="60">
        <v>1</v>
      </c>
      <c r="Z12" s="60">
        <v>5</v>
      </c>
      <c r="AA12" s="60">
        <v>1</v>
      </c>
      <c r="AB12" s="60">
        <v>5</v>
      </c>
      <c r="AC12" s="60">
        <v>1</v>
      </c>
      <c r="AD12" s="60">
        <v>5</v>
      </c>
      <c r="AE12" s="60">
        <v>2</v>
      </c>
      <c r="AF12" s="60">
        <v>5</v>
      </c>
      <c r="AG12" s="60">
        <v>1</v>
      </c>
      <c r="AH12" s="42">
        <f t="shared" si="2"/>
        <v>97.5</v>
      </c>
    </row>
    <row r="13" spans="2:34" ht="17.399999999999999" customHeight="1" x14ac:dyDescent="0.3">
      <c r="I13" s="41">
        <v>9</v>
      </c>
      <c r="J13" s="60">
        <v>3</v>
      </c>
      <c r="K13" s="60">
        <v>2</v>
      </c>
      <c r="L13" s="60">
        <v>4</v>
      </c>
      <c r="M13" s="60">
        <v>1</v>
      </c>
      <c r="N13" s="60">
        <v>4</v>
      </c>
      <c r="O13" s="60">
        <v>1</v>
      </c>
      <c r="P13" s="60">
        <v>4</v>
      </c>
      <c r="Q13" s="60">
        <v>1</v>
      </c>
      <c r="R13" s="60">
        <v>4</v>
      </c>
      <c r="S13" s="60">
        <v>1</v>
      </c>
      <c r="T13" s="42">
        <f t="shared" si="0"/>
        <v>82.5</v>
      </c>
      <c r="W13" s="41">
        <v>9</v>
      </c>
      <c r="X13" s="60">
        <v>3</v>
      </c>
      <c r="Y13" s="60">
        <v>2</v>
      </c>
      <c r="Z13" s="60">
        <v>4</v>
      </c>
      <c r="AA13" s="60">
        <v>2</v>
      </c>
      <c r="AB13" s="60">
        <v>3</v>
      </c>
      <c r="AC13" s="60">
        <v>2</v>
      </c>
      <c r="AD13" s="60">
        <v>3</v>
      </c>
      <c r="AE13" s="60">
        <v>2</v>
      </c>
      <c r="AF13" s="60">
        <v>4</v>
      </c>
      <c r="AG13" s="60">
        <v>2</v>
      </c>
      <c r="AH13" s="42">
        <f t="shared" si="2"/>
        <v>67.5</v>
      </c>
    </row>
    <row r="14" spans="2:34" ht="17.399999999999999" customHeight="1" x14ac:dyDescent="0.3">
      <c r="I14" s="41">
        <v>10</v>
      </c>
      <c r="J14" s="60">
        <v>2</v>
      </c>
      <c r="K14" s="60">
        <v>4</v>
      </c>
      <c r="L14" s="60">
        <v>3</v>
      </c>
      <c r="M14" s="60">
        <v>2</v>
      </c>
      <c r="N14" s="60">
        <v>2</v>
      </c>
      <c r="O14" s="60">
        <v>5</v>
      </c>
      <c r="P14" s="60">
        <v>2</v>
      </c>
      <c r="Q14" s="60">
        <v>4</v>
      </c>
      <c r="R14" s="60">
        <v>2</v>
      </c>
      <c r="S14" s="60">
        <v>3</v>
      </c>
      <c r="T14" s="42">
        <f t="shared" si="0"/>
        <v>32.5</v>
      </c>
      <c r="W14" s="41">
        <v>10</v>
      </c>
      <c r="X14" s="60">
        <v>4</v>
      </c>
      <c r="Y14" s="60">
        <v>2</v>
      </c>
      <c r="Z14" s="60">
        <v>3</v>
      </c>
      <c r="AA14" s="60">
        <v>4</v>
      </c>
      <c r="AB14" s="60">
        <v>4</v>
      </c>
      <c r="AC14" s="60">
        <v>3</v>
      </c>
      <c r="AD14" s="60">
        <v>4</v>
      </c>
      <c r="AE14" s="60">
        <v>1</v>
      </c>
      <c r="AF14" s="60">
        <v>4</v>
      </c>
      <c r="AG14" s="60">
        <v>1</v>
      </c>
      <c r="AH14" s="42">
        <f>((X14-1)+(5-Y14)+(Z14-1)+(5-AA14)+(AB14-1)+(5-AC14)+(AD14-1)+(5-AE14)+(AF14-1)+(5-AG14))*2.5</f>
        <v>70</v>
      </c>
    </row>
    <row r="15" spans="2:34" ht="17.399999999999999" customHeight="1" x14ac:dyDescent="0.3">
      <c r="I15" s="41">
        <v>11</v>
      </c>
      <c r="J15">
        <v>2</v>
      </c>
      <c r="K15">
        <v>2</v>
      </c>
      <c r="L15">
        <v>4</v>
      </c>
      <c r="M15">
        <v>1</v>
      </c>
      <c r="N15">
        <v>4</v>
      </c>
      <c r="O15">
        <v>1</v>
      </c>
      <c r="P15">
        <v>5</v>
      </c>
      <c r="Q15">
        <v>5</v>
      </c>
      <c r="R15">
        <v>2</v>
      </c>
      <c r="S15">
        <v>4</v>
      </c>
      <c r="T15" s="42">
        <f t="shared" si="0"/>
        <v>60</v>
      </c>
      <c r="W15" s="41">
        <v>11</v>
      </c>
      <c r="X15">
        <v>4</v>
      </c>
      <c r="Y15">
        <v>1</v>
      </c>
      <c r="Z15">
        <v>5</v>
      </c>
      <c r="AA15">
        <v>2</v>
      </c>
      <c r="AB15">
        <v>5</v>
      </c>
      <c r="AC15">
        <v>1</v>
      </c>
      <c r="AD15">
        <v>5</v>
      </c>
      <c r="AE15">
        <v>1</v>
      </c>
      <c r="AF15">
        <v>5</v>
      </c>
      <c r="AG15">
        <v>2</v>
      </c>
      <c r="AH15" s="42">
        <f t="shared" ref="AH15:AH16" si="3">((X15-1)+(5-Y15)+(Z15-1)+(5-AA15)+(AB15-1)+(5-AC15)+(AD15-1)+(5-AE15)+(AF15-1)+(5-AG15))*2.5</f>
        <v>92.5</v>
      </c>
    </row>
    <row r="16" spans="2:34" ht="17.399999999999999" customHeight="1" x14ac:dyDescent="0.3">
      <c r="I16" s="41">
        <v>12</v>
      </c>
      <c r="J16">
        <v>4</v>
      </c>
      <c r="K16">
        <v>2</v>
      </c>
      <c r="L16">
        <v>4</v>
      </c>
      <c r="M16">
        <v>2</v>
      </c>
      <c r="N16">
        <v>4</v>
      </c>
      <c r="O16">
        <v>4</v>
      </c>
      <c r="P16">
        <v>4</v>
      </c>
      <c r="Q16">
        <v>4</v>
      </c>
      <c r="R16">
        <v>5</v>
      </c>
      <c r="S16">
        <v>2</v>
      </c>
      <c r="T16" s="42">
        <f t="shared" si="0"/>
        <v>67.5</v>
      </c>
      <c r="W16" s="41">
        <v>12</v>
      </c>
      <c r="X16">
        <v>4</v>
      </c>
      <c r="Y16">
        <v>2</v>
      </c>
      <c r="Z16">
        <v>5</v>
      </c>
      <c r="AA16">
        <v>2</v>
      </c>
      <c r="AB16">
        <v>4</v>
      </c>
      <c r="AC16">
        <v>2</v>
      </c>
      <c r="AD16">
        <v>5</v>
      </c>
      <c r="AE16">
        <v>3</v>
      </c>
      <c r="AF16">
        <v>5</v>
      </c>
      <c r="AG16">
        <v>2</v>
      </c>
      <c r="AH16" s="42">
        <f t="shared" si="3"/>
        <v>80</v>
      </c>
    </row>
    <row r="17" spans="9:34" ht="17.399999999999999" customHeight="1" thickBot="1" x14ac:dyDescent="0.35">
      <c r="I17" s="43" t="s">
        <v>9</v>
      </c>
      <c r="J17" s="96"/>
      <c r="K17" s="96"/>
      <c r="L17" s="96"/>
      <c r="M17" s="96"/>
      <c r="N17" s="96"/>
      <c r="O17" s="96"/>
      <c r="P17" s="96"/>
      <c r="Q17" s="96"/>
      <c r="R17" s="96"/>
      <c r="S17" s="96"/>
      <c r="T17" s="49">
        <f>AVERAGE(T4:T16)</f>
        <v>62.5</v>
      </c>
      <c r="W17" s="43" t="s">
        <v>9</v>
      </c>
      <c r="X17" s="96"/>
      <c r="Y17" s="96"/>
      <c r="Z17" s="96"/>
      <c r="AA17" s="96"/>
      <c r="AB17" s="96"/>
      <c r="AC17" s="96"/>
      <c r="AD17" s="96"/>
      <c r="AE17" s="96"/>
      <c r="AF17" s="96"/>
      <c r="AG17" s="96"/>
      <c r="AH17" s="49">
        <f>AVERAGE(AH5:AH16)</f>
        <v>83.75</v>
      </c>
    </row>
    <row r="18" spans="9:34" ht="17.399999999999999" customHeight="1" x14ac:dyDescent="0.3">
      <c r="S18" t="s">
        <v>74</v>
      </c>
      <c r="T18" s="51">
        <f>_xlfn.STDEV.P(T5:T16)</f>
        <v>22.73030282830976</v>
      </c>
      <c r="AG18" t="s">
        <v>74</v>
      </c>
      <c r="AH18" s="51">
        <f>_xlfn.STDEV.P(AH5:AH16)</f>
        <v>9.1571920732649623</v>
      </c>
    </row>
    <row r="19" spans="9:34" ht="17.399999999999999" customHeight="1" x14ac:dyDescent="0.3">
      <c r="S19" t="s">
        <v>73</v>
      </c>
      <c r="T19">
        <f>T18/SQRT(COUNT(T5:T16))</f>
        <v>6.5616732283431762</v>
      </c>
      <c r="AG19" t="s">
        <v>73</v>
      </c>
      <c r="AH19">
        <f>AH18/SQRT(COUNT(AH5:AH16))</f>
        <v>2.6434536542603166</v>
      </c>
    </row>
    <row r="33" spans="9:34" ht="17.399999999999999" customHeight="1" thickBot="1" x14ac:dyDescent="0.35"/>
    <row r="34" spans="9:34" ht="17.399999999999999" customHeight="1" x14ac:dyDescent="0.3">
      <c r="I34" s="36"/>
      <c r="J34" s="37"/>
      <c r="K34" s="37" t="s">
        <v>5</v>
      </c>
      <c r="L34" s="37"/>
      <c r="M34" s="37"/>
      <c r="N34" s="37"/>
      <c r="O34" s="37"/>
      <c r="P34" s="37"/>
      <c r="Q34" s="37"/>
      <c r="R34" s="37"/>
      <c r="S34" s="37"/>
      <c r="T34" s="30"/>
      <c r="W34" s="36"/>
      <c r="X34" s="37"/>
      <c r="Y34" s="37" t="s">
        <v>6</v>
      </c>
      <c r="Z34" s="37"/>
      <c r="AA34" s="37"/>
      <c r="AB34" s="37"/>
      <c r="AC34" s="37"/>
      <c r="AD34" s="37"/>
      <c r="AE34" s="37"/>
      <c r="AF34" s="37"/>
      <c r="AG34" s="37"/>
      <c r="AH34" s="30"/>
    </row>
    <row r="35" spans="9:34" ht="17.399999999999999" customHeight="1" x14ac:dyDescent="0.3">
      <c r="I35" s="39" t="s">
        <v>46</v>
      </c>
      <c r="J35" s="95">
        <v>1</v>
      </c>
      <c r="K35" s="95">
        <v>2</v>
      </c>
      <c r="L35" s="95">
        <v>3</v>
      </c>
      <c r="M35" s="95">
        <v>4</v>
      </c>
      <c r="N35" s="95">
        <v>5</v>
      </c>
      <c r="O35" s="95">
        <v>6</v>
      </c>
      <c r="P35" s="95">
        <v>7</v>
      </c>
      <c r="Q35" s="95">
        <v>8</v>
      </c>
      <c r="R35" s="95">
        <v>9</v>
      </c>
      <c r="S35" s="95">
        <v>10</v>
      </c>
      <c r="T35" s="40" t="s">
        <v>47</v>
      </c>
      <c r="W35" s="39" t="s">
        <v>46</v>
      </c>
      <c r="X35" s="95">
        <v>1</v>
      </c>
      <c r="Y35" s="95">
        <v>2</v>
      </c>
      <c r="Z35" s="95">
        <v>3</v>
      </c>
      <c r="AA35" s="95">
        <v>4</v>
      </c>
      <c r="AB35" s="95">
        <v>5</v>
      </c>
      <c r="AC35" s="95">
        <v>6</v>
      </c>
      <c r="AD35" s="95">
        <v>7</v>
      </c>
      <c r="AE35" s="95">
        <v>8</v>
      </c>
      <c r="AF35" s="95">
        <v>9</v>
      </c>
      <c r="AG35" s="95">
        <v>10</v>
      </c>
      <c r="AH35" s="40" t="s">
        <v>47</v>
      </c>
    </row>
    <row r="36" spans="9:34" ht="17.399999999999999" customHeight="1" x14ac:dyDescent="0.3">
      <c r="I36" s="41" t="s">
        <v>3</v>
      </c>
      <c r="T36" s="40"/>
      <c r="W36" s="41" t="s">
        <v>3</v>
      </c>
      <c r="AH36" s="40"/>
    </row>
    <row r="37" spans="9:34" ht="17.399999999999999" customHeight="1" x14ac:dyDescent="0.3">
      <c r="I37" s="41">
        <v>1</v>
      </c>
      <c r="J37" s="97">
        <v>2</v>
      </c>
      <c r="K37" s="97">
        <v>3</v>
      </c>
      <c r="L37" s="97">
        <v>3</v>
      </c>
      <c r="M37" s="97">
        <v>4</v>
      </c>
      <c r="N37" s="97">
        <v>4</v>
      </c>
      <c r="O37" s="97">
        <v>2</v>
      </c>
      <c r="P37" s="97">
        <v>3</v>
      </c>
      <c r="Q37" s="97">
        <v>2</v>
      </c>
      <c r="R37" s="97">
        <v>3</v>
      </c>
      <c r="S37" s="97">
        <v>4</v>
      </c>
      <c r="T37" s="42">
        <f>((J37-1)+(5-K37)+(L37-1)+(5-M37)+(N37-1)+(5-O37)+(P37-1)+(5-Q37)+(R37-1)+(5-S37))*2.5</f>
        <v>50</v>
      </c>
      <c r="W37" s="41">
        <v>1</v>
      </c>
      <c r="X37" s="97">
        <v>2</v>
      </c>
      <c r="Y37" s="97">
        <v>3</v>
      </c>
      <c r="Z37" s="97">
        <v>3</v>
      </c>
      <c r="AA37" s="97">
        <v>4</v>
      </c>
      <c r="AB37" s="97">
        <v>4</v>
      </c>
      <c r="AC37" s="97">
        <v>3</v>
      </c>
      <c r="AD37" s="97">
        <v>4</v>
      </c>
      <c r="AE37" s="97">
        <v>3</v>
      </c>
      <c r="AF37" s="97">
        <v>3</v>
      </c>
      <c r="AG37" s="97">
        <v>4</v>
      </c>
      <c r="AH37" s="42">
        <f>((X37-1)+(5-Y37)+(Z37-1)+(5-AA37)+(AB37-1)+(5-AC37)+(AD37-1)+(5-AE37)+(AF37-1)+(5-AG37))*2.5</f>
        <v>47.5</v>
      </c>
    </row>
    <row r="38" spans="9:34" ht="17.399999999999999" customHeight="1" x14ac:dyDescent="0.3">
      <c r="I38" s="41">
        <v>2</v>
      </c>
      <c r="J38" s="97">
        <v>4</v>
      </c>
      <c r="K38" s="97">
        <v>2</v>
      </c>
      <c r="L38" s="97">
        <v>4</v>
      </c>
      <c r="M38" s="97">
        <v>3</v>
      </c>
      <c r="N38" s="97">
        <v>4</v>
      </c>
      <c r="O38" s="97">
        <v>1</v>
      </c>
      <c r="P38" s="97">
        <v>4</v>
      </c>
      <c r="Q38" s="97">
        <v>2</v>
      </c>
      <c r="R38" s="97">
        <v>5</v>
      </c>
      <c r="S38" s="97">
        <v>2</v>
      </c>
      <c r="T38" s="42">
        <f t="shared" ref="T38" si="4">((J38-1)+(5-K38)+(L38-1)+(5-M38)+(N38-1)+(5-O38)+(P38-1)+(5-Q38)+(R38-1)+(5-S38))*2.5</f>
        <v>77.5</v>
      </c>
      <c r="W38" s="41">
        <v>2</v>
      </c>
      <c r="X38" s="97">
        <v>4</v>
      </c>
      <c r="Y38" s="97">
        <v>2</v>
      </c>
      <c r="Z38" s="97">
        <v>4</v>
      </c>
      <c r="AA38" s="97">
        <v>2</v>
      </c>
      <c r="AB38" s="97">
        <v>4</v>
      </c>
      <c r="AC38" s="97">
        <v>2</v>
      </c>
      <c r="AD38" s="97">
        <v>4</v>
      </c>
      <c r="AE38" s="97">
        <v>2</v>
      </c>
      <c r="AF38" s="97">
        <v>4</v>
      </c>
      <c r="AG38" s="97">
        <v>2</v>
      </c>
      <c r="AH38" s="42">
        <f t="shared" ref="AH38" si="5">((X38-1)+(5-Y38)+(Z38-1)+(5-AA38)+(AB38-1)+(5-AC38)+(AD38-1)+(5-AE38)+(AF38-1)+(5-AG38))*2.5</f>
        <v>75</v>
      </c>
    </row>
    <row r="39" spans="9:34" ht="17.399999999999999" customHeight="1" x14ac:dyDescent="0.3">
      <c r="I39" s="41">
        <v>3</v>
      </c>
      <c r="J39" s="97">
        <v>5</v>
      </c>
      <c r="K39" s="97">
        <v>2</v>
      </c>
      <c r="L39" s="97">
        <v>3</v>
      </c>
      <c r="M39" s="97">
        <v>2</v>
      </c>
      <c r="N39" s="97">
        <v>4</v>
      </c>
      <c r="O39" s="97">
        <v>2</v>
      </c>
      <c r="P39" s="97">
        <v>5</v>
      </c>
      <c r="Q39" s="97">
        <v>4</v>
      </c>
      <c r="R39" s="97">
        <v>5</v>
      </c>
      <c r="S39" s="97">
        <v>1</v>
      </c>
      <c r="T39" s="42">
        <f>((J39-1)+(5-K39)+(L39-1)+(5-M39)+(N39-1)+(5-O39)+(P39-1)+(5-Q39)+(R39-1)+(5-S39))*2.5</f>
        <v>77.5</v>
      </c>
      <c r="W39" s="41">
        <v>3</v>
      </c>
      <c r="X39" s="97">
        <v>2</v>
      </c>
      <c r="Y39" s="97">
        <v>3</v>
      </c>
      <c r="Z39" s="97">
        <v>2</v>
      </c>
      <c r="AA39" s="97">
        <v>1</v>
      </c>
      <c r="AB39" s="97">
        <v>5</v>
      </c>
      <c r="AC39" s="97">
        <v>2</v>
      </c>
      <c r="AD39" s="97">
        <v>2</v>
      </c>
      <c r="AE39" s="97">
        <v>2</v>
      </c>
      <c r="AF39" s="97">
        <v>2</v>
      </c>
      <c r="AG39" s="97">
        <v>2</v>
      </c>
      <c r="AH39" s="42">
        <f>((X39-1)+(5-Y39)+(Z39-1)+(5-AA39)+(AB39-1)+(5-AC39)+(AD39-1)+(5-AE39)+(AF39-1)+(5-AG39))*2.5</f>
        <v>57.5</v>
      </c>
    </row>
    <row r="40" spans="9:34" ht="17.399999999999999" customHeight="1" x14ac:dyDescent="0.3">
      <c r="I40" s="41">
        <v>4</v>
      </c>
      <c r="J40" s="97">
        <v>4</v>
      </c>
      <c r="K40" s="97">
        <v>2</v>
      </c>
      <c r="L40" s="97">
        <v>4</v>
      </c>
      <c r="M40" s="97">
        <v>2</v>
      </c>
      <c r="N40" s="97">
        <v>4</v>
      </c>
      <c r="O40" s="97">
        <v>2</v>
      </c>
      <c r="P40" s="97">
        <v>5</v>
      </c>
      <c r="Q40" s="97">
        <v>3</v>
      </c>
      <c r="R40" s="97">
        <v>4</v>
      </c>
      <c r="S40" s="97">
        <v>2</v>
      </c>
      <c r="T40" s="42">
        <f t="shared" ref="T40:T48" si="6">((J40-1)+(5-K40)+(L40-1)+(5-M40)+(N40-1)+(5-O40)+(P40-1)+(5-Q40)+(R40-1)+(5-S40))*2.5</f>
        <v>75</v>
      </c>
      <c r="W40" s="41">
        <v>4</v>
      </c>
      <c r="X40" s="97">
        <v>4</v>
      </c>
      <c r="Y40" s="97">
        <v>2</v>
      </c>
      <c r="Z40" s="97">
        <v>4</v>
      </c>
      <c r="AA40" s="97">
        <v>2</v>
      </c>
      <c r="AB40" s="97">
        <v>5</v>
      </c>
      <c r="AC40" s="97">
        <v>2</v>
      </c>
      <c r="AD40" s="97">
        <v>4</v>
      </c>
      <c r="AE40" s="97">
        <v>3</v>
      </c>
      <c r="AF40" s="97">
        <v>4</v>
      </c>
      <c r="AG40" s="97">
        <v>3</v>
      </c>
      <c r="AH40" s="42">
        <f t="shared" ref="AH40:AH48" si="7">((X40-1)+(5-Y40)+(Z40-1)+(5-AA40)+(AB40-1)+(5-AC40)+(AD40-1)+(5-AE40)+(AF40-1)+(5-AG40))*2.5</f>
        <v>72.5</v>
      </c>
    </row>
    <row r="41" spans="9:34" ht="17.399999999999999" customHeight="1" x14ac:dyDescent="0.3">
      <c r="I41" s="41">
        <v>5</v>
      </c>
      <c r="J41" s="97">
        <v>5</v>
      </c>
      <c r="K41" s="97">
        <v>1</v>
      </c>
      <c r="L41" s="97">
        <v>5</v>
      </c>
      <c r="M41" s="97">
        <v>1</v>
      </c>
      <c r="N41" s="97">
        <v>5</v>
      </c>
      <c r="O41" s="97">
        <v>1</v>
      </c>
      <c r="P41" s="97">
        <v>4</v>
      </c>
      <c r="Q41" s="97">
        <v>4</v>
      </c>
      <c r="R41" s="97">
        <v>5</v>
      </c>
      <c r="S41" s="97">
        <v>2</v>
      </c>
      <c r="T41" s="42">
        <f t="shared" si="6"/>
        <v>87.5</v>
      </c>
      <c r="W41" s="41">
        <v>5</v>
      </c>
      <c r="X41" s="97">
        <v>4</v>
      </c>
      <c r="Y41" s="97">
        <v>4</v>
      </c>
      <c r="Z41" s="97">
        <v>4</v>
      </c>
      <c r="AA41" s="97">
        <v>3</v>
      </c>
      <c r="AB41" s="97">
        <v>5</v>
      </c>
      <c r="AC41" s="97">
        <v>1</v>
      </c>
      <c r="AD41" s="97">
        <v>2</v>
      </c>
      <c r="AE41" s="97">
        <v>4</v>
      </c>
      <c r="AF41" s="97">
        <v>4</v>
      </c>
      <c r="AG41" s="97">
        <v>3</v>
      </c>
      <c r="AH41" s="42">
        <f t="shared" si="7"/>
        <v>60</v>
      </c>
    </row>
    <row r="42" spans="9:34" ht="17.399999999999999" customHeight="1" x14ac:dyDescent="0.3">
      <c r="I42" s="41">
        <v>6</v>
      </c>
      <c r="J42" s="97">
        <v>3</v>
      </c>
      <c r="K42" s="97">
        <v>3</v>
      </c>
      <c r="L42" s="97">
        <v>3</v>
      </c>
      <c r="M42" s="97">
        <v>4</v>
      </c>
      <c r="N42" s="97">
        <v>4</v>
      </c>
      <c r="O42" s="97">
        <v>2</v>
      </c>
      <c r="P42" s="97">
        <v>4</v>
      </c>
      <c r="Q42" s="97">
        <v>4</v>
      </c>
      <c r="R42" s="97">
        <v>4</v>
      </c>
      <c r="S42" s="97">
        <v>2</v>
      </c>
      <c r="T42" s="42">
        <f t="shared" si="6"/>
        <v>57.5</v>
      </c>
      <c r="W42" s="41">
        <v>6</v>
      </c>
      <c r="X42" s="97">
        <v>3</v>
      </c>
      <c r="Y42" s="97">
        <v>3</v>
      </c>
      <c r="Z42" s="97">
        <v>4</v>
      </c>
      <c r="AA42" s="97">
        <v>3</v>
      </c>
      <c r="AB42" s="97">
        <v>4</v>
      </c>
      <c r="AC42" s="97">
        <v>2</v>
      </c>
      <c r="AD42" s="97">
        <v>3</v>
      </c>
      <c r="AE42" s="97">
        <v>3</v>
      </c>
      <c r="AF42" s="97">
        <v>4</v>
      </c>
      <c r="AG42" s="97">
        <v>3</v>
      </c>
      <c r="AH42" s="42">
        <f t="shared" si="7"/>
        <v>60</v>
      </c>
    </row>
    <row r="43" spans="9:34" ht="17.399999999999999" customHeight="1" x14ac:dyDescent="0.3">
      <c r="I43" s="41">
        <v>7</v>
      </c>
      <c r="J43" s="97">
        <v>3</v>
      </c>
      <c r="K43" s="97">
        <v>3</v>
      </c>
      <c r="L43" s="97">
        <v>2</v>
      </c>
      <c r="M43" s="97">
        <v>2</v>
      </c>
      <c r="N43" s="97">
        <v>4</v>
      </c>
      <c r="O43" s="97">
        <v>2</v>
      </c>
      <c r="P43" s="97">
        <v>3</v>
      </c>
      <c r="Q43" s="97">
        <v>4</v>
      </c>
      <c r="R43" s="97">
        <v>2</v>
      </c>
      <c r="S43" s="97">
        <v>3</v>
      </c>
      <c r="T43" s="42">
        <f t="shared" si="6"/>
        <v>50</v>
      </c>
      <c r="W43" s="41">
        <v>7</v>
      </c>
      <c r="X43" s="97">
        <v>4</v>
      </c>
      <c r="Y43" s="97">
        <v>3</v>
      </c>
      <c r="Z43" s="97">
        <v>4</v>
      </c>
      <c r="AA43" s="97">
        <v>2</v>
      </c>
      <c r="AB43" s="97">
        <v>5</v>
      </c>
      <c r="AC43" s="97">
        <v>2</v>
      </c>
      <c r="AD43" s="97">
        <v>2</v>
      </c>
      <c r="AE43" s="97">
        <v>3</v>
      </c>
      <c r="AF43" s="97">
        <v>3</v>
      </c>
      <c r="AG43" s="97">
        <v>3</v>
      </c>
      <c r="AH43" s="42">
        <f t="shared" si="7"/>
        <v>62.5</v>
      </c>
    </row>
    <row r="44" spans="9:34" ht="17.399999999999999" customHeight="1" x14ac:dyDescent="0.3">
      <c r="I44" s="41">
        <v>8</v>
      </c>
      <c r="J44" s="97">
        <v>1</v>
      </c>
      <c r="K44" s="97">
        <v>2</v>
      </c>
      <c r="L44" s="97">
        <v>5</v>
      </c>
      <c r="M44" s="97">
        <v>5</v>
      </c>
      <c r="N44" s="97">
        <v>5</v>
      </c>
      <c r="O44" s="97">
        <v>1</v>
      </c>
      <c r="P44" s="97">
        <v>5</v>
      </c>
      <c r="Q44" s="97">
        <v>4</v>
      </c>
      <c r="R44" s="97">
        <v>5</v>
      </c>
      <c r="S44" s="97">
        <v>1</v>
      </c>
      <c r="T44" s="42">
        <f t="shared" si="6"/>
        <v>70</v>
      </c>
      <c r="W44" s="41">
        <v>8</v>
      </c>
      <c r="X44" s="97">
        <v>5</v>
      </c>
      <c r="Y44" s="97">
        <v>1</v>
      </c>
      <c r="Z44" s="97">
        <v>5</v>
      </c>
      <c r="AA44" s="97">
        <v>2</v>
      </c>
      <c r="AB44" s="97">
        <v>5</v>
      </c>
      <c r="AC44" s="97">
        <v>1</v>
      </c>
      <c r="AD44" s="97">
        <v>5</v>
      </c>
      <c r="AE44" s="97">
        <v>2</v>
      </c>
      <c r="AF44" s="97">
        <v>5</v>
      </c>
      <c r="AG44" s="97">
        <v>1</v>
      </c>
      <c r="AH44" s="42">
        <f t="shared" si="7"/>
        <v>95</v>
      </c>
    </row>
    <row r="45" spans="9:34" ht="17.399999999999999" customHeight="1" x14ac:dyDescent="0.3">
      <c r="I45" s="41">
        <v>9</v>
      </c>
      <c r="J45" s="97">
        <v>3</v>
      </c>
      <c r="K45" s="97">
        <v>2</v>
      </c>
      <c r="L45" s="97">
        <v>3</v>
      </c>
      <c r="M45" s="97">
        <v>2</v>
      </c>
      <c r="N45" s="97">
        <v>4</v>
      </c>
      <c r="O45" s="97">
        <v>2</v>
      </c>
      <c r="P45" s="97">
        <v>3</v>
      </c>
      <c r="Q45" s="97">
        <v>2</v>
      </c>
      <c r="R45" s="97">
        <v>4</v>
      </c>
      <c r="S45" s="97">
        <v>2</v>
      </c>
      <c r="T45" s="42">
        <f t="shared" si="6"/>
        <v>67.5</v>
      </c>
      <c r="W45" s="41">
        <v>9</v>
      </c>
      <c r="X45" s="97">
        <v>3</v>
      </c>
      <c r="Y45" s="97">
        <v>2</v>
      </c>
      <c r="Z45" s="97">
        <v>4</v>
      </c>
      <c r="AA45" s="97">
        <v>2</v>
      </c>
      <c r="AB45" s="97">
        <v>4</v>
      </c>
      <c r="AC45" s="97">
        <v>2</v>
      </c>
      <c r="AD45" s="97">
        <v>4</v>
      </c>
      <c r="AE45" s="97">
        <v>3</v>
      </c>
      <c r="AF45" s="97">
        <v>4</v>
      </c>
      <c r="AG45" s="97">
        <v>2</v>
      </c>
      <c r="AH45" s="42">
        <f t="shared" si="7"/>
        <v>70</v>
      </c>
    </row>
    <row r="46" spans="9:34" ht="17.399999999999999" customHeight="1" x14ac:dyDescent="0.3">
      <c r="I46" s="41">
        <v>10</v>
      </c>
      <c r="J46" s="97">
        <v>3</v>
      </c>
      <c r="K46" s="97">
        <v>3</v>
      </c>
      <c r="L46" s="97">
        <v>2</v>
      </c>
      <c r="M46" s="97">
        <v>4</v>
      </c>
      <c r="N46" s="97">
        <v>4</v>
      </c>
      <c r="O46" s="97">
        <v>3</v>
      </c>
      <c r="P46" s="97">
        <v>3</v>
      </c>
      <c r="Q46" s="97">
        <v>2</v>
      </c>
      <c r="R46" s="97">
        <v>3</v>
      </c>
      <c r="S46" s="97">
        <v>4</v>
      </c>
      <c r="T46" s="42">
        <f t="shared" si="6"/>
        <v>47.5</v>
      </c>
      <c r="W46" s="41">
        <v>10</v>
      </c>
      <c r="X46" s="97">
        <v>4</v>
      </c>
      <c r="Y46" s="97">
        <v>3</v>
      </c>
      <c r="Z46" s="97">
        <v>3</v>
      </c>
      <c r="AA46" s="97">
        <v>4</v>
      </c>
      <c r="AB46" s="97">
        <v>5</v>
      </c>
      <c r="AC46" s="97">
        <v>2</v>
      </c>
      <c r="AD46" s="97">
        <v>4</v>
      </c>
      <c r="AE46" s="97">
        <v>4</v>
      </c>
      <c r="AF46" s="97">
        <v>4</v>
      </c>
      <c r="AG46" s="97">
        <v>4</v>
      </c>
      <c r="AH46" s="42">
        <f t="shared" si="7"/>
        <v>57.5</v>
      </c>
    </row>
    <row r="47" spans="9:34" ht="17.399999999999999" customHeight="1" x14ac:dyDescent="0.3">
      <c r="I47" s="41">
        <v>11</v>
      </c>
      <c r="J47">
        <v>4</v>
      </c>
      <c r="K47">
        <v>2</v>
      </c>
      <c r="L47">
        <v>5</v>
      </c>
      <c r="M47">
        <v>2</v>
      </c>
      <c r="N47">
        <v>5</v>
      </c>
      <c r="O47">
        <v>1</v>
      </c>
      <c r="P47">
        <v>5</v>
      </c>
      <c r="Q47">
        <v>1</v>
      </c>
      <c r="R47">
        <v>5</v>
      </c>
      <c r="S47">
        <v>2</v>
      </c>
      <c r="T47" s="42">
        <f t="shared" si="6"/>
        <v>90</v>
      </c>
      <c r="W47" s="41">
        <v>11</v>
      </c>
      <c r="X47">
        <v>2</v>
      </c>
      <c r="Y47">
        <v>4</v>
      </c>
      <c r="Z47">
        <v>2</v>
      </c>
      <c r="AA47">
        <v>4</v>
      </c>
      <c r="AB47">
        <v>2</v>
      </c>
      <c r="AC47">
        <v>1</v>
      </c>
      <c r="AD47">
        <v>4</v>
      </c>
      <c r="AE47">
        <v>4</v>
      </c>
      <c r="AF47">
        <v>2</v>
      </c>
      <c r="AG47">
        <v>4</v>
      </c>
      <c r="AH47" s="42">
        <f t="shared" si="7"/>
        <v>37.5</v>
      </c>
    </row>
    <row r="48" spans="9:34" ht="17.399999999999999" customHeight="1" x14ac:dyDescent="0.3">
      <c r="I48" s="41">
        <v>12</v>
      </c>
      <c r="J48">
        <v>4</v>
      </c>
      <c r="K48">
        <v>3</v>
      </c>
      <c r="L48">
        <v>4</v>
      </c>
      <c r="M48">
        <v>2</v>
      </c>
      <c r="N48">
        <v>4</v>
      </c>
      <c r="O48">
        <v>3</v>
      </c>
      <c r="P48">
        <v>4</v>
      </c>
      <c r="Q48">
        <v>2</v>
      </c>
      <c r="R48">
        <v>3</v>
      </c>
      <c r="S48">
        <v>4</v>
      </c>
      <c r="T48" s="42">
        <f t="shared" si="6"/>
        <v>62.5</v>
      </c>
      <c r="W48" s="41">
        <v>12</v>
      </c>
      <c r="X48">
        <v>3</v>
      </c>
      <c r="Y48">
        <v>4</v>
      </c>
      <c r="Z48">
        <v>3</v>
      </c>
      <c r="AA48">
        <v>3</v>
      </c>
      <c r="AB48">
        <v>4</v>
      </c>
      <c r="AC48">
        <v>4</v>
      </c>
      <c r="AD48">
        <v>3</v>
      </c>
      <c r="AE48">
        <v>4</v>
      </c>
      <c r="AF48">
        <v>3</v>
      </c>
      <c r="AG48">
        <v>4</v>
      </c>
      <c r="AH48" s="42">
        <f t="shared" si="7"/>
        <v>42.5</v>
      </c>
    </row>
    <row r="49" spans="9:34" ht="17.399999999999999" customHeight="1" thickBot="1" x14ac:dyDescent="0.35">
      <c r="I49" s="43" t="s">
        <v>9</v>
      </c>
      <c r="J49" s="99"/>
      <c r="K49" s="99"/>
      <c r="L49" s="99"/>
      <c r="M49" s="99"/>
      <c r="N49" s="99"/>
      <c r="O49" s="99"/>
      <c r="P49" s="99"/>
      <c r="Q49" s="99"/>
      <c r="R49" s="99"/>
      <c r="S49" s="99"/>
      <c r="T49" s="49">
        <f>AVERAGE(T37:T48)</f>
        <v>67.708333333333329</v>
      </c>
      <c r="W49" s="43" t="s">
        <v>9</v>
      </c>
      <c r="X49" s="98"/>
      <c r="Y49" s="98"/>
      <c r="Z49" s="98"/>
      <c r="AA49" s="98"/>
      <c r="AB49" s="98"/>
      <c r="AC49" s="98"/>
      <c r="AD49" s="98"/>
      <c r="AE49" s="98"/>
      <c r="AF49" s="98"/>
      <c r="AG49" s="98"/>
      <c r="AH49" s="49">
        <f>AVERAGE(AH37:AH48)</f>
        <v>61.458333333333336</v>
      </c>
    </row>
    <row r="50" spans="9:34" ht="17.399999999999999" customHeight="1" x14ac:dyDescent="0.3">
      <c r="S50" t="s">
        <v>74</v>
      </c>
      <c r="T50" s="51">
        <f>_xlfn.STDEV.P(T37:T48)</f>
        <v>13.86160514594981</v>
      </c>
      <c r="AG50" t="s">
        <v>74</v>
      </c>
      <c r="AH50" s="51">
        <f>_xlfn.STDEV.P(AH37:AH48)</f>
        <v>14.911486530710329</v>
      </c>
    </row>
    <row r="51" spans="9:34" ht="17.399999999999999" customHeight="1" x14ac:dyDescent="0.3">
      <c r="S51" t="s">
        <v>73</v>
      </c>
      <c r="T51">
        <f>T50/SQRT(COUNT(T37:T48))</f>
        <v>4.0015007312072122</v>
      </c>
      <c r="AG51" t="s">
        <v>73</v>
      </c>
      <c r="AH51">
        <f>AH50/SQRT(COUNT(AH37:AH48))</f>
        <v>4.3045753812615439</v>
      </c>
    </row>
  </sheetData>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F4B5-7501-4397-8977-26AE61F92143}">
  <dimension ref="A1:B21"/>
  <sheetViews>
    <sheetView workbookViewId="0">
      <selection activeCell="B19" sqref="B19"/>
    </sheetView>
  </sheetViews>
  <sheetFormatPr defaultRowHeight="14.4" x14ac:dyDescent="0.3"/>
  <cols>
    <col min="1" max="1" width="33.88671875" bestFit="1" customWidth="1"/>
    <col min="2" max="2" width="12.5546875" bestFit="1" customWidth="1"/>
  </cols>
  <sheetData>
    <row r="1" spans="1:2" x14ac:dyDescent="0.3">
      <c r="A1" t="s">
        <v>10</v>
      </c>
      <c r="B1" t="s">
        <v>48</v>
      </c>
    </row>
    <row r="2" spans="1:2" x14ac:dyDescent="0.3">
      <c r="A2" t="s">
        <v>7</v>
      </c>
      <c r="B2">
        <v>62.5</v>
      </c>
    </row>
    <row r="3" spans="1:2" x14ac:dyDescent="0.3">
      <c r="A3" t="s">
        <v>49</v>
      </c>
      <c r="B3">
        <v>83.75</v>
      </c>
    </row>
    <row r="4" spans="1:2" x14ac:dyDescent="0.3">
      <c r="A4" t="s">
        <v>50</v>
      </c>
      <c r="B4">
        <v>61.4583333333333</v>
      </c>
    </row>
    <row r="5" spans="1:2" x14ac:dyDescent="0.3">
      <c r="A5" t="s">
        <v>51</v>
      </c>
      <c r="B5">
        <v>67.7083333333333</v>
      </c>
    </row>
    <row r="6" spans="1:2" x14ac:dyDescent="0.3">
      <c r="A6" t="s">
        <v>52</v>
      </c>
      <c r="B6">
        <v>3</v>
      </c>
    </row>
    <row r="7" spans="1:2" x14ac:dyDescent="0.3">
      <c r="A7" t="s">
        <v>53</v>
      </c>
      <c r="B7">
        <v>7</v>
      </c>
    </row>
    <row r="8" spans="1:2" x14ac:dyDescent="0.3">
      <c r="A8" t="s">
        <v>54</v>
      </c>
      <c r="B8">
        <v>4</v>
      </c>
    </row>
    <row r="9" spans="1:2" x14ac:dyDescent="0.3">
      <c r="A9" t="s">
        <v>55</v>
      </c>
      <c r="B9">
        <v>6</v>
      </c>
    </row>
    <row r="10" spans="1:2" x14ac:dyDescent="0.3">
      <c r="A10" t="s">
        <v>56</v>
      </c>
      <c r="B10">
        <v>0</v>
      </c>
    </row>
    <row r="11" spans="1:2" x14ac:dyDescent="0.3">
      <c r="A11" t="s">
        <v>57</v>
      </c>
      <c r="B11">
        <v>3</v>
      </c>
    </row>
    <row r="12" spans="1:2" x14ac:dyDescent="0.3">
      <c r="A12" t="s">
        <v>58</v>
      </c>
      <c r="B12">
        <v>1</v>
      </c>
    </row>
    <row r="13" spans="1:2" x14ac:dyDescent="0.3">
      <c r="A13" t="s">
        <v>59</v>
      </c>
      <c r="B13">
        <v>3</v>
      </c>
    </row>
    <row r="14" spans="1:2" x14ac:dyDescent="0.3">
      <c r="A14" t="s">
        <v>60</v>
      </c>
      <c r="B14">
        <v>2</v>
      </c>
    </row>
    <row r="15" spans="1:2" x14ac:dyDescent="0.3">
      <c r="A15" t="s">
        <v>61</v>
      </c>
      <c r="B15">
        <v>4</v>
      </c>
    </row>
    <row r="16" spans="1:2" x14ac:dyDescent="0.3">
      <c r="A16" t="s">
        <v>62</v>
      </c>
      <c r="B16">
        <v>2</v>
      </c>
    </row>
    <row r="17" spans="1:2" x14ac:dyDescent="0.3">
      <c r="A17" t="s">
        <v>63</v>
      </c>
      <c r="B17">
        <v>0</v>
      </c>
    </row>
    <row r="18" spans="1:2" x14ac:dyDescent="0.3">
      <c r="A18" t="s">
        <v>64</v>
      </c>
      <c r="B18">
        <v>2</v>
      </c>
    </row>
    <row r="19" spans="1:2" x14ac:dyDescent="0.3">
      <c r="A19" t="s">
        <v>65</v>
      </c>
      <c r="B19">
        <v>7</v>
      </c>
    </row>
    <row r="20" spans="1:2" x14ac:dyDescent="0.3">
      <c r="A20" t="s">
        <v>66</v>
      </c>
      <c r="B20">
        <v>3</v>
      </c>
    </row>
    <row r="21" spans="1:2" x14ac:dyDescent="0.3">
      <c r="A21" t="s">
        <v>67</v>
      </c>
      <c r="B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6D2E-0BFF-4B04-8EAB-1914C26C4461}">
  <dimension ref="A1:B5"/>
  <sheetViews>
    <sheetView tabSelected="1" workbookViewId="0">
      <selection activeCell="B5" sqref="B5"/>
    </sheetView>
  </sheetViews>
  <sheetFormatPr defaultRowHeight="14.4" x14ac:dyDescent="0.3"/>
  <cols>
    <col min="1" max="1" width="22.33203125" customWidth="1"/>
    <col min="2" max="2" width="122.6640625" style="60" customWidth="1"/>
  </cols>
  <sheetData>
    <row r="1" spans="1:2" x14ac:dyDescent="0.3">
      <c r="A1" t="s">
        <v>10</v>
      </c>
      <c r="B1" s="60" t="s">
        <v>68</v>
      </c>
    </row>
    <row r="2" spans="1:2" ht="43.2" x14ac:dyDescent="0.3">
      <c r="A2" t="s">
        <v>7</v>
      </c>
      <c r="B2" s="60" t="s">
        <v>71</v>
      </c>
    </row>
    <row r="3" spans="1:2" ht="28.8" x14ac:dyDescent="0.3">
      <c r="A3" t="s">
        <v>49</v>
      </c>
      <c r="B3" s="60" t="s">
        <v>69</v>
      </c>
    </row>
    <row r="4" spans="1:2" ht="28.8" x14ac:dyDescent="0.3">
      <c r="A4" t="s">
        <v>51</v>
      </c>
      <c r="B4" s="60" t="s">
        <v>72</v>
      </c>
    </row>
    <row r="5" spans="1:2" ht="72" x14ac:dyDescent="0.3">
      <c r="A5" t="s">
        <v>50</v>
      </c>
      <c r="B5" s="60"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C9594A91CC704799C85E12DB9F11CE" ma:contentTypeVersion="13" ma:contentTypeDescription="Create a new document." ma:contentTypeScope="" ma:versionID="c166b714170b66b89a4518425aa66c16">
  <xsd:schema xmlns:xsd="http://www.w3.org/2001/XMLSchema" xmlns:xs="http://www.w3.org/2001/XMLSchema" xmlns:p="http://schemas.microsoft.com/office/2006/metadata/properties" xmlns:ns3="caedd711-712c-4679-9368-12308f64c187" xmlns:ns4="9cc1d0aa-570f-4755-a63a-0ce52900c35b" targetNamespace="http://schemas.microsoft.com/office/2006/metadata/properties" ma:root="true" ma:fieldsID="f6bbe64ed69b834ac00af867378d582a" ns3:_="" ns4:_="">
    <xsd:import namespace="caedd711-712c-4679-9368-12308f64c187"/>
    <xsd:import namespace="9cc1d0aa-570f-4755-a63a-0ce52900c35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_activity" minOccurs="0"/>
                <xsd:element ref="ns4:SharedWithUsers" minOccurs="0"/>
                <xsd:element ref="ns4:SharedWithDetails" minOccurs="0"/>
                <xsd:element ref="ns4:SharingHintHash" minOccurs="0"/>
                <xsd:element ref="ns3:MediaServiceObjectDetectorVersion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edd711-712c-4679-9368-12308f64c1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_activity" ma:index="13" nillable="true" ma:displayName="_activity" ma:hidden="true" ma:internalName="_activity">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cc1d0aa-570f-4755-a63a-0ce52900c35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aedd711-712c-4679-9368-12308f64c187" xsi:nil="true"/>
  </documentManagement>
</p:properties>
</file>

<file path=customXml/itemProps1.xml><?xml version="1.0" encoding="utf-8"?>
<ds:datastoreItem xmlns:ds="http://schemas.openxmlformats.org/officeDocument/2006/customXml" ds:itemID="{99BF858F-2F1E-44BB-8554-41DF77EBB480}">
  <ds:schemaRefs>
    <ds:schemaRef ds:uri="http://schemas.microsoft.com/sharepoint/v3/contenttype/forms"/>
  </ds:schemaRefs>
</ds:datastoreItem>
</file>

<file path=customXml/itemProps2.xml><?xml version="1.0" encoding="utf-8"?>
<ds:datastoreItem xmlns:ds="http://schemas.openxmlformats.org/officeDocument/2006/customXml" ds:itemID="{3493A78B-4414-4529-AA7F-5AD0F3EF55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edd711-712c-4679-9368-12308f64c187"/>
    <ds:schemaRef ds:uri="9cc1d0aa-570f-4755-a63a-0ce52900c3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FE2B4D-7004-4E59-AE12-A52FB26F6B96}">
  <ds:schemaRefs>
    <ds:schemaRef ds:uri="http://schemas.microsoft.com/office/infopath/2007/PartnerControls"/>
    <ds:schemaRef ds:uri="caedd711-712c-4679-9368-12308f64c187"/>
    <ds:schemaRef ds:uri="http://schemas.microsoft.com/office/2006/documentManagement/types"/>
    <ds:schemaRef ds:uri="http://schemas.microsoft.com/office/2006/metadata/properties"/>
    <ds:schemaRef ds:uri="http://purl.org/dc/dcmitype/"/>
    <ds:schemaRef ds:uri="http://schemas.openxmlformats.org/package/2006/metadata/core-properties"/>
    <ds:schemaRef ds:uri="9cc1d0aa-570f-4755-a63a-0ce52900c35b"/>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 data</vt:lpstr>
      <vt:lpstr>SUS</vt:lpstr>
      <vt:lpstr>Other data</vt:lpstr>
      <vt:lpstr>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Ammar Khurshid</dc:creator>
  <cp:keywords/>
  <dc:description/>
  <cp:lastModifiedBy>Ammar Khurshid Ahmed (student)</cp:lastModifiedBy>
  <cp:revision/>
  <dcterms:created xsi:type="dcterms:W3CDTF">2015-06-05T18:17:20Z</dcterms:created>
  <dcterms:modified xsi:type="dcterms:W3CDTF">2023-08-31T19:25:14Z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0x010100B4C9594A91CC704799C85E12DB9F11CE</vt:lpwstr>
  </property>
  <property fmtid="{D5CDD505-2E9C-101B-9397-08002B2CF9AE}" pid="3" name="MSIP_Label_67f9f9b9-84d8-49f4-8c5e-aeb31123663f_Enabled">
    <vt:lpwstr>true</vt:lpwstr>
  </property>
  <property fmtid="{D5CDD505-2E9C-101B-9397-08002B2CF9AE}" pid="4" name="MSIP_Label_67f9f9b9-84d8-49f4-8c5e-aeb31123663f_SetDate">
    <vt:lpwstr>2023-08-05T21:45:39Z</vt:lpwstr>
  </property>
  <property fmtid="{D5CDD505-2E9C-101B-9397-08002B2CF9AE}" pid="5" name="MSIP_Label_67f9f9b9-84d8-49f4-8c5e-aeb31123663f_Method">
    <vt:lpwstr>Privileged</vt:lpwstr>
  </property>
  <property fmtid="{D5CDD505-2E9C-101B-9397-08002B2CF9AE}" pid="6" name="MSIP_Label_67f9f9b9-84d8-49f4-8c5e-aeb31123663f_Name">
    <vt:lpwstr>Medium</vt:lpwstr>
  </property>
  <property fmtid="{D5CDD505-2E9C-101B-9397-08002B2CF9AE}" pid="7" name="MSIP_Label_67f9f9b9-84d8-49f4-8c5e-aeb31123663f_SiteId">
    <vt:lpwstr>6e725c29-763a-4f50-81f2-2e254f0133c8</vt:lpwstr>
  </property>
  <property fmtid="{D5CDD505-2E9C-101B-9397-08002B2CF9AE}" pid="8" name="MSIP_Label_67f9f9b9-84d8-49f4-8c5e-aeb31123663f_ActionId">
    <vt:lpwstr>f718592d-4746-4afe-9491-a59180233070</vt:lpwstr>
  </property>
  <property fmtid="{D5CDD505-2E9C-101B-9397-08002B2CF9AE}" pid="9" name="MSIP_Label_67f9f9b9-84d8-49f4-8c5e-aeb31123663f_ContentBits">
    <vt:lpwstr>0</vt:lpwstr>
  </property>
</Properties>
</file>